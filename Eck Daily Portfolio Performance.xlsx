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0" documentId="8_{4E54A77B-2B6B-4DFA-9282-67B24CC0D563}" xr6:coauthVersionLast="47" xr6:coauthVersionMax="47" xr10:uidLastSave="{00000000-0000-0000-0000-000000000000}"/>
  <bookViews>
    <workbookView xWindow="-108" yWindow="-108" windowWidth="23256" windowHeight="13896" activeTab="3" xr2:uid="{2CE851D4-8592-44BE-9EF4-07154C971ED2}"/>
  </bookViews>
  <sheets>
    <sheet name="Benchmarks" sheetId="4" r:id="rId1"/>
    <sheet name="NelsonCorp" sheetId="3" r:id="rId2"/>
    <sheet name="Personal" sheetId="5" r:id="rId3"/>
    <sheet name="Dashboard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2" l="1" a="1"/>
  <c r="E15" i="2" s="1"/>
  <c r="B7" i="5"/>
  <c r="C6" i="5" a="1"/>
  <c r="C6" i="5" s="1"/>
  <c r="D6" i="5" s="1"/>
  <c r="C5" i="5" a="1"/>
  <c r="C5" i="5" s="1"/>
  <c r="D5" i="5" s="1"/>
  <c r="C4" i="5" a="1"/>
  <c r="C4" i="5" s="1"/>
  <c r="D4" i="5" s="1"/>
  <c r="C3" i="5" a="1"/>
  <c r="C3" i="5" s="1"/>
  <c r="D3" i="5" s="1"/>
  <c r="E2" i="5"/>
  <c r="B1" i="2"/>
  <c r="B70" i="3"/>
  <c r="E57" i="3"/>
  <c r="C58" i="3" a="1"/>
  <c r="C69" i="3" a="1"/>
  <c r="C65" i="3" a="1"/>
  <c r="C63" i="3" a="1"/>
  <c r="E4" i="2" a="1"/>
  <c r="E3" i="2" a="1"/>
  <c r="E8" i="2" a="1"/>
  <c r="E9" i="2" a="1"/>
  <c r="C60" i="3" a="1"/>
  <c r="E6" i="2" a="1"/>
  <c r="E12" i="2" a="1"/>
  <c r="E13" i="2" a="1"/>
  <c r="C59" i="3" a="1"/>
  <c r="C64" i="3" a="1"/>
  <c r="E10" i="2" a="1"/>
  <c r="E7" i="2" a="1"/>
  <c r="C68" i="3" a="1"/>
  <c r="E5" i="2" a="1"/>
  <c r="E11" i="2" a="1"/>
  <c r="C62" i="3" a="1"/>
  <c r="C66" i="3" a="1"/>
  <c r="C61" i="3" a="1"/>
  <c r="C67" i="3" a="1"/>
  <c r="E14" i="2" a="1"/>
  <c r="D7" i="5" l="1"/>
  <c r="C15" i="2" s="1"/>
  <c r="E3" i="2"/>
  <c r="E14" i="2"/>
  <c r="E13" i="2"/>
  <c r="E12" i="2"/>
  <c r="E11" i="2"/>
  <c r="E10" i="2"/>
  <c r="E9" i="2"/>
  <c r="E8" i="2"/>
  <c r="E7" i="2"/>
  <c r="E6" i="2"/>
  <c r="E5" i="2"/>
  <c r="E4" i="2"/>
  <c r="C58" i="3"/>
  <c r="D58" i="3" s="1"/>
  <c r="C66" i="3"/>
  <c r="D66" i="3" s="1"/>
  <c r="C61" i="3"/>
  <c r="D61" i="3" s="1"/>
  <c r="C69" i="3"/>
  <c r="D69" i="3" s="1"/>
  <c r="C64" i="3"/>
  <c r="D64" i="3" s="1"/>
  <c r="C59" i="3"/>
  <c r="D59" i="3" s="1"/>
  <c r="C62" i="3"/>
  <c r="D62" i="3" s="1"/>
  <c r="C67" i="3"/>
  <c r="D67" i="3" s="1"/>
  <c r="C65" i="3"/>
  <c r="D65" i="3" s="1"/>
  <c r="C60" i="3"/>
  <c r="D60" i="3" s="1"/>
  <c r="C68" i="3"/>
  <c r="D68" i="3" s="1"/>
  <c r="C63" i="3"/>
  <c r="D63" i="3" s="1"/>
  <c r="F15" i="2" l="1"/>
  <c r="D70" i="3"/>
  <c r="C12" i="2" s="1"/>
  <c r="B54" i="3" l="1"/>
  <c r="E42" i="3"/>
  <c r="C44" i="3" a="1"/>
  <c r="C45" i="3" a="1"/>
  <c r="C48" i="3" a="1"/>
  <c r="C52" i="3" a="1"/>
  <c r="C53" i="3" a="1"/>
  <c r="C49" i="3" a="1"/>
  <c r="C51" i="3" a="1"/>
  <c r="C47" i="3" a="1"/>
  <c r="C46" i="3" a="1"/>
  <c r="C43" i="3" a="1"/>
  <c r="C50" i="3" a="1"/>
  <c r="C43" i="3" l="1"/>
  <c r="D43" i="3" s="1"/>
  <c r="C51" i="3"/>
  <c r="D51" i="3" s="1"/>
  <c r="C49" i="3"/>
  <c r="D49" i="3" s="1"/>
  <c r="C44" i="3"/>
  <c r="D44" i="3" s="1"/>
  <c r="C52" i="3"/>
  <c r="D52" i="3" s="1"/>
  <c r="C47" i="3"/>
  <c r="D47" i="3" s="1"/>
  <c r="C50" i="3"/>
  <c r="D50" i="3" s="1"/>
  <c r="C46" i="3"/>
  <c r="D46" i="3" s="1"/>
  <c r="C45" i="3"/>
  <c r="D45" i="3" s="1"/>
  <c r="C53" i="3"/>
  <c r="D53" i="3" s="1"/>
  <c r="C48" i="3"/>
  <c r="D48" i="3" s="1"/>
  <c r="D54" i="3" l="1"/>
  <c r="C11" i="2" s="1"/>
  <c r="F2" i="2" l="1"/>
  <c r="B90" i="3"/>
  <c r="E84" i="3"/>
  <c r="D2" i="2"/>
  <c r="B39" i="3"/>
  <c r="B18" i="3"/>
  <c r="E21" i="3"/>
  <c r="E73" i="3"/>
  <c r="C25" i="3" a="1"/>
  <c r="C34" i="3" a="1"/>
  <c r="C23" i="3" a="1"/>
  <c r="C33" i="3" a="1"/>
  <c r="C32" i="3" a="1"/>
  <c r="C23" i="4" a="1"/>
  <c r="C36" i="3" a="1"/>
  <c r="C89" i="3" a="1"/>
  <c r="C74" i="3" a="1"/>
  <c r="C86" i="3" a="1"/>
  <c r="C37" i="3" a="1"/>
  <c r="C31" i="3" a="1"/>
  <c r="C26" i="3" a="1"/>
  <c r="C18" i="4" a="1"/>
  <c r="C24" i="3" a="1"/>
  <c r="C85" i="3" a="1"/>
  <c r="C38" i="3" a="1"/>
  <c r="C88" i="3" a="1"/>
  <c r="C30" i="3" a="1"/>
  <c r="C35" i="3" a="1"/>
  <c r="C28" i="3" a="1"/>
  <c r="C87" i="3" a="1"/>
  <c r="C22" i="3" a="1"/>
  <c r="C27" i="3" a="1"/>
  <c r="C29" i="3" a="1"/>
  <c r="C28" i="4" a="1"/>
  <c r="C28" i="4" l="1"/>
  <c r="D28" i="4" s="1"/>
  <c r="D29" i="4" s="1"/>
  <c r="C8" i="2" s="1"/>
  <c r="C23" i="4"/>
  <c r="D23" i="4" s="1"/>
  <c r="D24" i="4" s="1"/>
  <c r="C7" i="2" s="1"/>
  <c r="C18" i="4"/>
  <c r="D18" i="4" s="1"/>
  <c r="D19" i="4" s="1"/>
  <c r="C6" i="2" s="1"/>
  <c r="C89" i="3"/>
  <c r="D89" i="3" s="1"/>
  <c r="C87" i="3"/>
  <c r="D87" i="3" s="1"/>
  <c r="C88" i="3"/>
  <c r="D88" i="3" s="1"/>
  <c r="C85" i="3"/>
  <c r="D85" i="3" s="1"/>
  <c r="C86" i="3"/>
  <c r="D86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4" i="3"/>
  <c r="D74" i="3" s="1"/>
  <c r="B75" i="3"/>
  <c r="C75" i="3" a="1"/>
  <c r="D90" i="3" l="1"/>
  <c r="C14" i="2" s="1"/>
  <c r="D39" i="3"/>
  <c r="C10" i="2" s="1"/>
  <c r="C75" i="3"/>
  <c r="D75" i="3" s="1"/>
  <c r="E2" i="3" l="1"/>
  <c r="B78" i="3"/>
  <c r="B77" i="3"/>
  <c r="B76" i="3"/>
  <c r="C15" i="3" a="1"/>
  <c r="C10" i="3" a="1"/>
  <c r="C6" i="3" a="1"/>
  <c r="C5" i="3" a="1"/>
  <c r="C76" i="3" a="1"/>
  <c r="C9" i="3" a="1"/>
  <c r="C13" i="3" a="1"/>
  <c r="C14" i="3" a="1"/>
  <c r="C3" i="4" a="1"/>
  <c r="C3" i="3" a="1"/>
  <c r="C12" i="3" a="1"/>
  <c r="C79" i="3" a="1"/>
  <c r="C7" i="3" a="1"/>
  <c r="C8" i="4" a="1"/>
  <c r="C17" i="3" a="1"/>
  <c r="C4" i="3" a="1"/>
  <c r="C11" i="3" a="1"/>
  <c r="C16" i="3" a="1"/>
  <c r="C77" i="3" a="1"/>
  <c r="C78" i="3" a="1"/>
  <c r="C80" i="3" a="1"/>
  <c r="C13" i="4" a="1"/>
  <c r="C8" i="3" a="1"/>
  <c r="B81" i="3" l="1"/>
  <c r="C13" i="4"/>
  <c r="D13" i="4" s="1"/>
  <c r="D14" i="4" s="1"/>
  <c r="C5" i="2" s="1"/>
  <c r="C8" i="4"/>
  <c r="D8" i="4" s="1"/>
  <c r="D9" i="4" s="1"/>
  <c r="C4" i="2" s="1"/>
  <c r="C3" i="4"/>
  <c r="D3" i="4" s="1"/>
  <c r="D4" i="4" s="1"/>
  <c r="C77" i="3"/>
  <c r="D77" i="3" s="1"/>
  <c r="C79" i="3"/>
  <c r="D79" i="3" s="1"/>
  <c r="C80" i="3"/>
  <c r="D80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2" i="3"/>
  <c r="D12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70" i="3" l="1"/>
  <c r="D12" i="2" s="1"/>
  <c r="E7" i="5"/>
  <c r="D15" i="2" s="1"/>
  <c r="E54" i="3"/>
  <c r="D11" i="2" s="1"/>
  <c r="E39" i="3"/>
  <c r="D10" i="2" s="1"/>
  <c r="E90" i="3"/>
  <c r="D14" i="2" s="1"/>
  <c r="C3" i="2"/>
  <c r="D81" i="3"/>
  <c r="C13" i="2" l="1"/>
  <c r="E81" i="3"/>
  <c r="D13" i="2" s="1"/>
  <c r="D3" i="3"/>
  <c r="F11" i="2" l="1"/>
  <c r="F12" i="2"/>
  <c r="F13" i="2"/>
  <c r="F10" i="2"/>
  <c r="F14" i="2"/>
  <c r="D18" i="3"/>
  <c r="C9" i="2" l="1"/>
  <c r="E18" i="3"/>
  <c r="D9" i="2" s="1"/>
  <c r="F9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<sst xmlns="http://schemas.openxmlformats.org/spreadsheetml/2006/main" count="159" uniqueCount="56">
  <si>
    <t>S&amp;P 500</t>
  </si>
  <si>
    <t>Ticker</t>
  </si>
  <si>
    <t>Weight</t>
  </si>
  <si>
    <t>Return</t>
  </si>
  <si>
    <t>Total Return</t>
  </si>
  <si>
    <t>DIA</t>
  </si>
  <si>
    <t>Nasdaq 100</t>
  </si>
  <si>
    <t>QQQ</t>
  </si>
  <si>
    <t>MODERATE</t>
  </si>
  <si>
    <t>TLT</t>
  </si>
  <si>
    <t>USHY</t>
  </si>
  <si>
    <t>TIP</t>
  </si>
  <si>
    <t>VTI</t>
  </si>
  <si>
    <t>SPHB</t>
  </si>
  <si>
    <t>XLK</t>
  </si>
  <si>
    <t>AMLP</t>
  </si>
  <si>
    <t>SPMO</t>
  </si>
  <si>
    <t>VEA</t>
  </si>
  <si>
    <t>VWO</t>
  </si>
  <si>
    <t>QQQM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</si>
  <si>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</si>
  <si>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</si>
  <si>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</si>
  <si>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</si>
  <si>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</si>
  <si>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</si>
  <si>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</si>
  <si>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</si>
  <si>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</si>
  <si>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</si>
  <si>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</si>
  <si>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</si>
  <si>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</si>
  <si>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</si>
  <si>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</si>
  <si>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</si>
  <si>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</si>
  <si>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</si>
  <si>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</si>
  <si>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</si>
  <si>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</si>
  <si>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</si>
  <si>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</si>
  <si>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</si>
  <si>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</si>
  <si>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</si>
  <si>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</si>
  <si>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</si>
  <si>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</si>
  <si>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</si>
  <si>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</si>
  <si>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</si>
  <si>
    <t>YTD As Of</t>
  </si>
  <si>
    <t>Eck 401k</t>
  </si>
  <si>
    <t>VNQ</t>
  </si>
  <si>
    <t>Eck 401K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</si>
</sst>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theme="0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10" xfId="0" applyNumberFormat="1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left"/>
    </xf>
    <xf numFmtId="10" fontId="5" fillId="2" borderId="13" xfId="0" applyNumberFormat="1" applyFont="1" applyFill="1" applyBorder="1" applyAlignment="1">
      <alignment horizontal="center" vertical="center"/>
    </xf>
    <xf numFmtId="10" fontId="5" fillId="2" borderId="14" xfId="0" applyNumberFormat="1" applyFont="1" applyFill="1" applyBorder="1" applyAlignment="1">
      <alignment horizontal="center" vertical="center"/>
    </xf>
    <xf numFmtId="10" fontId="5" fillId="2" borderId="1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8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G5" sqref="G5"/>
    </sheetView>
  </sheetViews>
  <sheetFormatPr defaultRowHeight="14.4" x14ac:dyDescent="0.3"/>
  <cols>
    <col min="1" max="1" width="14.44140625" customWidth="1"/>
    <col min="2" max="2" width="11.44140625" customWidth="1"/>
    <col min="3" max="3" width="11.88671875" customWidth="1"/>
    <col min="4" max="4" width="16.6640625" customWidth="1"/>
  </cols>
  <sheetData>
    <row r="1" spans="1:4" ht="15.6" x14ac:dyDescent="0.3">
      <c r="A1" s="40" t="s">
        <v>0</v>
      </c>
      <c r="B1" s="40"/>
      <c r="C1" s="40"/>
      <c r="D1" s="40"/>
    </row>
    <row r="2" spans="1:4" ht="15.6" x14ac:dyDescent="0.3">
      <c r="A2" s="1" t="s">
        <v>1</v>
      </c>
      <c r="B2" s="1" t="s">
        <v>2</v>
      </c>
      <c r="C2" s="1" t="s">
        <v>3</v>
      </c>
      <c r="D2" s="1" t="s">
        <v>4</v>
      </c>
    </row>
    <row r="3" spans="1:4" ht="16.2" thickBot="1" x14ac:dyDescent="0.35">
      <c r="A3" s="2" t="s">
        <v>20</v>
      </c>
      <c r="B3" s="3">
        <v>1</v>
      </c>
      <c r="C3" s="3" cm="1">
        <f t="array" aca="1" ref="C3" ca="1">_xll.YCP(A3,"roc_1")</f>
        <v>-5.088278567925454E-3</v>
      </c>
      <c r="D3" s="3">
        <f ca="1">B3*C3</f>
        <v>-5.088278567925454E-3</v>
      </c>
    </row>
    <row r="4" spans="1:4" ht="16.2" thickBot="1" x14ac:dyDescent="0.35">
      <c r="A4" s="2"/>
      <c r="B4" s="3"/>
      <c r="C4" s="4"/>
      <c r="D4" s="5">
        <f ca="1">SUM(D3:D3)</f>
        <v>-5.088278567925454E-3</v>
      </c>
    </row>
    <row r="6" spans="1:4" ht="15.6" x14ac:dyDescent="0.3">
      <c r="A6" s="40" t="s">
        <v>31</v>
      </c>
      <c r="B6" s="40"/>
      <c r="C6" s="40"/>
      <c r="D6" s="40"/>
    </row>
    <row r="7" spans="1:4" ht="15.6" x14ac:dyDescent="0.3">
      <c r="A7" s="1" t="s">
        <v>1</v>
      </c>
      <c r="B7" s="1" t="s">
        <v>2</v>
      </c>
      <c r="C7" s="1" t="s">
        <v>3</v>
      </c>
      <c r="D7" s="1" t="s">
        <v>4</v>
      </c>
    </row>
    <row r="8" spans="1:4" ht="16.2" thickBot="1" x14ac:dyDescent="0.35">
      <c r="A8" s="2" t="s">
        <v>5</v>
      </c>
      <c r="B8" s="3">
        <v>1</v>
      </c>
      <c r="C8" s="3" cm="1">
        <f t="array" aca="1" ref="C8" ca="1">_xll.YCP(A8,"roc_1")</f>
        <v>1.0508871913018877E-3</v>
      </c>
      <c r="D8" s="3">
        <f ca="1">B8*C8</f>
        <v>1.0508871913018877E-3</v>
      </c>
    </row>
    <row r="9" spans="1:4" ht="16.2" thickBot="1" x14ac:dyDescent="0.35">
      <c r="A9" s="2"/>
      <c r="B9" s="3"/>
      <c r="C9" s="4"/>
      <c r="D9" s="5">
        <f ca="1">SUM(D8:D8)</f>
        <v>1.0508871913018877E-3</v>
      </c>
    </row>
    <row r="11" spans="1:4" ht="15.6" x14ac:dyDescent="0.3">
      <c r="A11" s="40" t="s">
        <v>6</v>
      </c>
      <c r="B11" s="40"/>
      <c r="C11" s="40"/>
      <c r="D11" s="40"/>
    </row>
    <row r="12" spans="1:4" ht="15.6" x14ac:dyDescent="0.3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2" thickBot="1" x14ac:dyDescent="0.35">
      <c r="A13" s="2" t="s">
        <v>7</v>
      </c>
      <c r="B13" s="3">
        <v>1</v>
      </c>
      <c r="C13" s="3" cm="1">
        <f t="array" aca="1" ref="C13" ca="1">_xll.YCP(A13,"roc_1")</f>
        <v>-1.2064604008561977E-2</v>
      </c>
      <c r="D13" s="3">
        <f ca="1">B13*C13</f>
        <v>-1.2064604008561977E-2</v>
      </c>
    </row>
    <row r="14" spans="1:4" ht="16.2" thickBot="1" x14ac:dyDescent="0.35">
      <c r="A14" s="2"/>
      <c r="B14" s="3"/>
      <c r="C14" s="4"/>
      <c r="D14" s="5">
        <f ca="1">SUM(D13:D13)</f>
        <v>-1.2064604008561977E-2</v>
      </c>
    </row>
    <row r="16" spans="1:4" ht="15.6" x14ac:dyDescent="0.3">
      <c r="A16" s="40" t="s">
        <v>37</v>
      </c>
      <c r="B16" s="40"/>
      <c r="C16" s="40"/>
      <c r="D16" s="40"/>
    </row>
    <row r="17" spans="1:4" ht="15.6" x14ac:dyDescent="0.3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2" thickBot="1" x14ac:dyDescent="0.35">
      <c r="A18" s="2" t="s">
        <v>36</v>
      </c>
      <c r="B18" s="3">
        <v>1</v>
      </c>
      <c r="C18" s="3" cm="1">
        <f t="array" aca="1" ref="C18" ca="1">_xll.YCP(A18,"roc_1")</f>
        <v>1.3361045130641329E-3</v>
      </c>
      <c r="D18" s="3">
        <f ca="1">B18*C18</f>
        <v>1.3361045130641329E-3</v>
      </c>
    </row>
    <row r="19" spans="1:4" ht="16.2" thickBot="1" x14ac:dyDescent="0.35">
      <c r="A19" s="2"/>
      <c r="B19" s="3"/>
      <c r="C19" s="4"/>
      <c r="D19" s="5">
        <f ca="1">SUM(D18:D18)</f>
        <v>1.3361045130641329E-3</v>
      </c>
    </row>
    <row r="21" spans="1:4" ht="15.6" x14ac:dyDescent="0.3">
      <c r="A21" s="40" t="s">
        <v>38</v>
      </c>
      <c r="B21" s="40"/>
      <c r="C21" s="40"/>
      <c r="D21" s="40"/>
    </row>
    <row r="22" spans="1:4" ht="15.6" x14ac:dyDescent="0.3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2" thickBot="1" x14ac:dyDescent="0.35">
      <c r="A23" s="2" t="s">
        <v>39</v>
      </c>
      <c r="B23" s="3">
        <v>1</v>
      </c>
      <c r="C23" s="3" cm="1">
        <f t="array" aca="1" ref="C23" ca="1">_xll.YCP(A23,"roc_1")</f>
        <v>1.2924667651403249E-3</v>
      </c>
      <c r="D23" s="3">
        <f ca="1">B23*C23</f>
        <v>1.2924667651403249E-3</v>
      </c>
    </row>
    <row r="24" spans="1:4" ht="16.2" thickBot="1" x14ac:dyDescent="0.35">
      <c r="A24" s="2"/>
      <c r="B24" s="3"/>
      <c r="C24" s="4"/>
      <c r="D24" s="5">
        <f ca="1">SUM(D23:D23)</f>
        <v>1.2924667651403249E-3</v>
      </c>
    </row>
    <row r="26" spans="1:4" ht="15.6" x14ac:dyDescent="0.3">
      <c r="A26" s="40" t="s">
        <v>48</v>
      </c>
      <c r="B26" s="40"/>
      <c r="C26" s="40"/>
      <c r="D26" s="40"/>
    </row>
    <row r="27" spans="1:4" ht="15.6" x14ac:dyDescent="0.3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2" thickBot="1" x14ac:dyDescent="0.35">
      <c r="A28" s="2" t="s">
        <v>25</v>
      </c>
      <c r="B28" s="3">
        <v>1</v>
      </c>
      <c r="C28" s="3" cm="1">
        <f t="array" aca="1" ref="C28" ca="1">_xll.YCP(A28,"roc_1")</f>
        <v>-6.7980965329707678E-4</v>
      </c>
      <c r="D28" s="3">
        <f ca="1">B28*C28</f>
        <v>-6.7980965329707678E-4</v>
      </c>
    </row>
    <row r="29" spans="1:4" ht="16.2" thickBot="1" x14ac:dyDescent="0.35">
      <c r="A29" s="2"/>
      <c r="B29" s="3"/>
      <c r="C29" s="4"/>
      <c r="D29" s="5">
        <f ca="1">SUM(D28:D28)</f>
        <v>-6.7980965329707678E-4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47" priority="15" operator="lessThan">
      <formula>0</formula>
    </cfRule>
    <cfRule type="cellIs" dxfId="46" priority="16" operator="greaterThan">
      <formula>0</formula>
    </cfRule>
  </conditionalFormatting>
  <conditionalFormatting sqref="C8:D9">
    <cfRule type="cellIs" dxfId="45" priority="13" operator="lessThan">
      <formula>0</formula>
    </cfRule>
    <cfRule type="cellIs" dxfId="44" priority="14" operator="greaterThan">
      <formula>0</formula>
    </cfRule>
  </conditionalFormatting>
  <conditionalFormatting sqref="C13:D14">
    <cfRule type="cellIs" dxfId="43" priority="11" operator="lessThan">
      <formula>0</formula>
    </cfRule>
    <cfRule type="cellIs" dxfId="42" priority="12" operator="greaterThan">
      <formula>0</formula>
    </cfRule>
  </conditionalFormatting>
  <conditionalFormatting sqref="C18:D19">
    <cfRule type="cellIs" dxfId="41" priority="7" operator="lessThan">
      <formula>0</formula>
    </cfRule>
    <cfRule type="cellIs" dxfId="40" priority="8" operator="greaterThan">
      <formula>0</formula>
    </cfRule>
  </conditionalFormatting>
  <conditionalFormatting sqref="C23:D24">
    <cfRule type="cellIs" dxfId="39" priority="5" operator="lessThan">
      <formula>0</formula>
    </cfRule>
    <cfRule type="cellIs" dxfId="38" priority="6" operator="greaterThan">
      <formula>0</formula>
    </cfRule>
  </conditionalFormatting>
  <conditionalFormatting sqref="C28:D29">
    <cfRule type="cellIs" dxfId="37" priority="3" operator="lessThan">
      <formula>0</formula>
    </cfRule>
    <cfRule type="cellIs" dxfId="36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90"/>
  <sheetViews>
    <sheetView workbookViewId="0">
      <selection activeCell="J5" sqref="J5"/>
    </sheetView>
  </sheetViews>
  <sheetFormatPr defaultColWidth="9.109375" defaultRowHeight="15.6" x14ac:dyDescent="0.3"/>
  <cols>
    <col min="1" max="1" width="9.109375" style="6"/>
    <col min="2" max="2" width="11.6640625" style="6" customWidth="1"/>
    <col min="3" max="3" width="12.5546875" style="6" customWidth="1"/>
    <col min="4" max="4" width="15.88671875" style="6" customWidth="1"/>
    <col min="5" max="5" width="17.44140625" style="6" customWidth="1"/>
    <col min="6" max="9" width="9.109375" style="6"/>
    <col min="10" max="10" width="16.5546875" style="6" customWidth="1"/>
    <col min="11" max="16384" width="9.109375" style="6"/>
  </cols>
  <sheetData>
    <row r="1" spans="1:5" x14ac:dyDescent="0.3">
      <c r="A1" s="40" t="s">
        <v>8</v>
      </c>
      <c r="B1" s="40"/>
      <c r="C1" s="40"/>
      <c r="D1" s="40"/>
      <c r="E1" s="4"/>
    </row>
    <row r="2" spans="1:5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51</v>
      </c>
      <c r="B3" s="3">
        <v>0.02</v>
      </c>
      <c r="C3" s="3" cm="1">
        <f t="array" aca="1" ref="C3" ca="1">_xll.YCP("M:FZFXX","roc_1")</f>
        <v>9.1000000000000003E-5</v>
      </c>
      <c r="D3" s="3">
        <f ca="1">B3*C3</f>
        <v>1.8200000000000002E-6</v>
      </c>
      <c r="E3" s="4"/>
    </row>
    <row r="4" spans="1:5" x14ac:dyDescent="0.3">
      <c r="A4" s="2" t="s">
        <v>9</v>
      </c>
      <c r="B4" s="3">
        <v>5.67E-2</v>
      </c>
      <c r="C4" s="3" cm="1">
        <f t="array" aca="1" ref="C4" ca="1">_xll.YCP(A4,"roc_1")</f>
        <v>3.6703370036703371E-3</v>
      </c>
      <c r="D4" s="3">
        <f t="shared" ref="D4:D7" ca="1" si="0">B4*C4</f>
        <v>2.0810810810810811E-4</v>
      </c>
      <c r="E4" s="4"/>
    </row>
    <row r="5" spans="1:5" x14ac:dyDescent="0.3">
      <c r="A5" s="2" t="s">
        <v>10</v>
      </c>
      <c r="B5" s="3">
        <v>5.67E-2</v>
      </c>
      <c r="C5" s="3" cm="1">
        <f t="array" aca="1" ref="C5" ca="1">_xll.YCP(A5,"roc_1")</f>
        <v>-5.3312008529921365E-4</v>
      </c>
      <c r="D5" s="3">
        <f t="shared" ca="1" si="0"/>
        <v>-3.0227908836465413E-5</v>
      </c>
      <c r="E5" s="4"/>
    </row>
    <row r="6" spans="1:5" x14ac:dyDescent="0.3">
      <c r="A6" s="2" t="s">
        <v>11</v>
      </c>
      <c r="B6" s="3">
        <v>5.67E-2</v>
      </c>
      <c r="C6" s="3" cm="1">
        <f t="array" aca="1" ref="C6" ca="1">_xll.YCP(A6,"roc_1")</f>
        <v>1.840050264787721E-3</v>
      </c>
      <c r="D6" s="3">
        <f t="shared" ca="1" si="0"/>
        <v>1.0433085001346379E-4</v>
      </c>
      <c r="E6" s="4"/>
    </row>
    <row r="7" spans="1:5" x14ac:dyDescent="0.3">
      <c r="A7" s="2" t="s">
        <v>12</v>
      </c>
      <c r="B7" s="3">
        <v>0.1575</v>
      </c>
      <c r="C7" s="3" cm="1">
        <f t="array" aca="1" ref="C7" ca="1">_xll.YCP(A7,"roc_1")</f>
        <v>-3.6860427697978527E-3</v>
      </c>
      <c r="D7" s="3">
        <f t="shared" ca="1" si="0"/>
        <v>-5.8055173624316182E-4</v>
      </c>
      <c r="E7" s="4"/>
    </row>
    <row r="8" spans="1:5" x14ac:dyDescent="0.3">
      <c r="A8" s="2" t="s">
        <v>13</v>
      </c>
      <c r="B8" s="3">
        <v>4.8099999999999997E-2</v>
      </c>
      <c r="C8" s="3" cm="1">
        <f t="array" aca="1" ref="C8" ca="1">_xll.YCP(A8,"roc_1")</f>
        <v>-4.0813060179257362E-3</v>
      </c>
      <c r="D8" s="3">
        <f t="shared" ref="D8:D17" ca="1" si="1">B8*C8</f>
        <v>-1.9631081946222789E-4</v>
      </c>
      <c r="E8" s="4"/>
    </row>
    <row r="9" spans="1:5" x14ac:dyDescent="0.3">
      <c r="A9" s="2" t="s">
        <v>14</v>
      </c>
      <c r="B9" s="3">
        <v>4.8099999999999997E-2</v>
      </c>
      <c r="C9" s="3" cm="1">
        <f t="array" aca="1" ref="C9" ca="1">_xll.YCP(A9,"roc_1")</f>
        <v>-1.496398853227047E-2</v>
      </c>
      <c r="D9" s="3">
        <f t="shared" ca="1" si="1"/>
        <v>-7.1976784840220955E-4</v>
      </c>
      <c r="E9" s="4"/>
    </row>
    <row r="10" spans="1:5" x14ac:dyDescent="0.3">
      <c r="A10" s="2" t="s">
        <v>15</v>
      </c>
      <c r="B10" s="3">
        <v>4.8099999999999997E-2</v>
      </c>
      <c r="C10" s="3" cm="1">
        <f t="array" aca="1" ref="C10" ca="1">_xll.YCP(A10,"roc_1")</f>
        <v>8.7668030391583867E-3</v>
      </c>
      <c r="D10" s="3">
        <f t="shared" ca="1" si="1"/>
        <v>4.2168322618351837E-4</v>
      </c>
      <c r="E10" s="4"/>
    </row>
    <row r="11" spans="1:5" x14ac:dyDescent="0.3">
      <c r="A11" s="2" t="s">
        <v>16</v>
      </c>
      <c r="B11" s="3">
        <v>4.8099999999999997E-2</v>
      </c>
      <c r="C11" s="3" cm="1">
        <f t="array" aca="1" ref="C11" ca="1">_xll.YCP(A11,"roc_1")</f>
        <v>-4.8966719229811603E-3</v>
      </c>
      <c r="D11" s="3">
        <f t="shared" ca="1" si="1"/>
        <v>-2.3552991949539378E-4</v>
      </c>
      <c r="E11" s="4"/>
    </row>
    <row r="12" spans="1:5" x14ac:dyDescent="0.3">
      <c r="A12" s="2" t="s">
        <v>17</v>
      </c>
      <c r="B12" s="3">
        <v>0.06</v>
      </c>
      <c r="C12" s="3" cm="1">
        <f t="array" aca="1" ref="C12" ca="1">_xll.YCP(A12,"roc_1")</f>
        <v>7.1164247082265871E-4</v>
      </c>
      <c r="D12" s="3">
        <f t="shared" ca="1" si="1"/>
        <v>4.2698548249359523E-5</v>
      </c>
      <c r="E12" s="4"/>
    </row>
    <row r="13" spans="1:5" x14ac:dyDescent="0.3">
      <c r="A13" s="2" t="s">
        <v>18</v>
      </c>
      <c r="B13" s="3">
        <v>0.06</v>
      </c>
      <c r="C13" s="3" cm="1">
        <f t="array" aca="1" ref="C13" ca="1">_xll.YCP(A13,"roc_1")</f>
        <v>-1.2201321809862735E-2</v>
      </c>
      <c r="D13" s="3">
        <f t="shared" ca="1" si="1"/>
        <v>-7.3207930859176408E-4</v>
      </c>
      <c r="E13" s="4"/>
    </row>
    <row r="14" spans="1:5" x14ac:dyDescent="0.3">
      <c r="A14" s="2" t="s">
        <v>5</v>
      </c>
      <c r="B14" s="3">
        <v>0.13070000000000001</v>
      </c>
      <c r="C14" s="3" cm="1">
        <f t="array" aca="1" ref="C14" ca="1">_xll.YCP(A14,"roc_1")</f>
        <v>1.0508871913018877E-3</v>
      </c>
      <c r="D14" s="3">
        <f t="shared" ca="1" si="1"/>
        <v>1.3735095590315674E-4</v>
      </c>
      <c r="E14" s="4"/>
    </row>
    <row r="15" spans="1:5" x14ac:dyDescent="0.3">
      <c r="A15" s="2" t="s">
        <v>19</v>
      </c>
      <c r="B15" s="3">
        <v>5.6000000000000001E-2</v>
      </c>
      <c r="C15" s="3" cm="1">
        <f t="array" aca="1" ref="C15" ca="1">_xll.YCP(A15,"roc_1")</f>
        <v>-1.1818933932159319E-2</v>
      </c>
      <c r="D15" s="3">
        <f t="shared" ca="1" si="1"/>
        <v>-6.6186030020092186E-4</v>
      </c>
      <c r="E15" s="4"/>
    </row>
    <row r="16" spans="1:5" x14ac:dyDescent="0.3">
      <c r="A16" s="2" t="s">
        <v>20</v>
      </c>
      <c r="B16" s="3">
        <v>9.3299999999999994E-2</v>
      </c>
      <c r="C16" s="3" cm="1">
        <f t="array" aca="1" ref="C16" ca="1">_xll.YCP(A16,"roc_1")</f>
        <v>-5.088278567925454E-3</v>
      </c>
      <c r="D16" s="3">
        <f t="shared" ca="1" si="1"/>
        <v>-4.7473639038744483E-4</v>
      </c>
      <c r="E16" s="4"/>
    </row>
    <row r="17" spans="1:5" ht="16.2" thickBot="1" x14ac:dyDescent="0.35">
      <c r="A17" s="2" t="s">
        <v>21</v>
      </c>
      <c r="B17" s="3">
        <v>0.06</v>
      </c>
      <c r="C17" s="3" cm="1">
        <f t="array" aca="1" ref="C17" ca="1">_xll.YCP(A17,"roc_1")</f>
        <v>-2.7012425715829281E-3</v>
      </c>
      <c r="D17" s="3">
        <f t="shared" ca="1" si="1"/>
        <v>-1.6207455429497568E-4</v>
      </c>
      <c r="E17" s="4"/>
    </row>
    <row r="18" spans="1:5" ht="16.2" thickBot="1" x14ac:dyDescent="0.35">
      <c r="A18" s="2"/>
      <c r="B18" s="3">
        <f>SUM(B3:B17)</f>
        <v>1</v>
      </c>
      <c r="C18" s="4"/>
      <c r="D18" s="5">
        <f ca="1">SUM(D3:D17)</f>
        <v>-2.8771470974569583E-3</v>
      </c>
      <c r="E18" s="5">
        <f ca="1">D18-Benchmarks!$D$4</f>
        <v>2.2111314704684956E-3</v>
      </c>
    </row>
    <row r="20" spans="1:5" x14ac:dyDescent="0.3">
      <c r="A20" s="40" t="s">
        <v>22</v>
      </c>
      <c r="B20" s="40"/>
      <c r="C20" s="40"/>
      <c r="D20" s="40"/>
      <c r="E20" s="4"/>
    </row>
    <row r="21" spans="1:5" x14ac:dyDescent="0.3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3">
      <c r="A22" s="2" t="s">
        <v>51</v>
      </c>
      <c r="B22" s="3">
        <v>0.01</v>
      </c>
      <c r="C22" s="3" cm="1">
        <f t="array" aca="1" ref="C22" ca="1">_xll.YCP("M:FZFXX","roc_1")</f>
        <v>9.1000000000000003E-5</v>
      </c>
      <c r="D22" s="3">
        <f ca="1">B22*C22</f>
        <v>9.1000000000000008E-7</v>
      </c>
      <c r="E22" s="4"/>
    </row>
    <row r="23" spans="1:5" x14ac:dyDescent="0.3">
      <c r="A23" s="2" t="s">
        <v>9</v>
      </c>
      <c r="B23" s="3">
        <v>3.6700000000000003E-2</v>
      </c>
      <c r="C23" s="3" cm="1">
        <f t="array" aca="1" ref="C23" ca="1">_xll.YCP(A23,"roc_1")</f>
        <v>3.6703370036703371E-3</v>
      </c>
      <c r="D23" s="3">
        <f t="shared" ref="D23:D38" ca="1" si="2">B23*C23</f>
        <v>1.3470136803470138E-4</v>
      </c>
      <c r="E23" s="4"/>
    </row>
    <row r="24" spans="1:5" x14ac:dyDescent="0.3">
      <c r="A24" s="2" t="s">
        <v>10</v>
      </c>
      <c r="B24" s="3">
        <v>3.6700000000000003E-2</v>
      </c>
      <c r="C24" s="3" cm="1">
        <f t="array" aca="1" ref="C24" ca="1">_xll.YCP(A24,"roc_1")</f>
        <v>-5.3312008529921365E-4</v>
      </c>
      <c r="D24" s="3">
        <f t="shared" ca="1" si="2"/>
        <v>-1.9565507130481143E-5</v>
      </c>
      <c r="E24" s="4"/>
    </row>
    <row r="25" spans="1:5" x14ac:dyDescent="0.3">
      <c r="A25" s="2" t="s">
        <v>11</v>
      </c>
      <c r="B25" s="3">
        <v>3.6700000000000003E-2</v>
      </c>
      <c r="C25" s="3" cm="1">
        <f t="array" aca="1" ref="C25" ca="1">_xll.YCP(A25,"roc_1")</f>
        <v>1.840050264787721E-3</v>
      </c>
      <c r="D25" s="3">
        <f t="shared" ca="1" si="2"/>
        <v>6.7529844717709365E-5</v>
      </c>
      <c r="E25" s="4"/>
    </row>
    <row r="26" spans="1:5" x14ac:dyDescent="0.3">
      <c r="A26" s="2" t="s">
        <v>13</v>
      </c>
      <c r="B26" s="3">
        <v>2.5000000000000001E-2</v>
      </c>
      <c r="C26" s="3" cm="1">
        <f t="array" aca="1" ref="C26" ca="1">_xll.YCP(A26,"roc_1")</f>
        <v>-4.0813060179257362E-3</v>
      </c>
      <c r="D26" s="3">
        <f t="shared" ca="1" si="2"/>
        <v>-1.0203265044814341E-4</v>
      </c>
      <c r="E26" s="4"/>
    </row>
    <row r="27" spans="1:5" x14ac:dyDescent="0.3">
      <c r="A27" s="2" t="s">
        <v>14</v>
      </c>
      <c r="B27" s="3">
        <v>2.5000000000000001E-2</v>
      </c>
      <c r="C27" s="3" cm="1">
        <f t="array" aca="1" ref="C27" ca="1">_xll.YCP(A27,"roc_1")</f>
        <v>-1.496398853227047E-2</v>
      </c>
      <c r="D27" s="3">
        <f t="shared" ca="1" si="2"/>
        <v>-3.7409971330676177E-4</v>
      </c>
      <c r="E27" s="4"/>
    </row>
    <row r="28" spans="1:5" x14ac:dyDescent="0.3">
      <c r="A28" s="2" t="s">
        <v>15</v>
      </c>
      <c r="B28" s="3">
        <v>2.5000000000000001E-2</v>
      </c>
      <c r="C28" s="3" cm="1">
        <f t="array" aca="1" ref="C28" ca="1">_xll.YCP(A28,"roc_1")</f>
        <v>8.7668030391583867E-3</v>
      </c>
      <c r="D28" s="3">
        <f t="shared" ca="1" si="2"/>
        <v>2.1917007597895967E-4</v>
      </c>
      <c r="E28" s="4"/>
    </row>
    <row r="29" spans="1:5" x14ac:dyDescent="0.3">
      <c r="A29" s="2" t="s">
        <v>16</v>
      </c>
      <c r="B29" s="3">
        <v>2.5000000000000001E-2</v>
      </c>
      <c r="C29" s="3" cm="1">
        <f t="array" aca="1" ref="C29" ca="1">_xll.YCP(A29,"roc_1")</f>
        <v>-4.8966719229811603E-3</v>
      </c>
      <c r="D29" s="3">
        <f t="shared" ca="1" si="2"/>
        <v>-1.2241679807452902E-4</v>
      </c>
      <c r="E29" s="4"/>
    </row>
    <row r="30" spans="1:5" x14ac:dyDescent="0.3">
      <c r="A30" s="2" t="s">
        <v>17</v>
      </c>
      <c r="B30" s="3">
        <v>9.7500000000000003E-2</v>
      </c>
      <c r="C30" s="3" cm="1">
        <f t="array" aca="1" ref="C30" ca="1">_xll.YCP(A30,"roc_1")</f>
        <v>7.1164247082265871E-4</v>
      </c>
      <c r="D30" s="3">
        <f t="shared" ca="1" si="2"/>
        <v>6.9385140905209227E-5</v>
      </c>
      <c r="E30" s="4"/>
    </row>
    <row r="31" spans="1:5" x14ac:dyDescent="0.3">
      <c r="A31" s="2" t="s">
        <v>18</v>
      </c>
      <c r="B31" s="3">
        <v>9.7500000000000003E-2</v>
      </c>
      <c r="C31" s="3" cm="1">
        <f t="array" aca="1" ref="C31" ca="1">_xll.YCP(A31,"roc_1")</f>
        <v>-1.2201321809862735E-2</v>
      </c>
      <c r="D31" s="3">
        <f t="shared" ca="1" si="2"/>
        <v>-1.1896288764616167E-3</v>
      </c>
      <c r="E31" s="4"/>
    </row>
    <row r="32" spans="1:5" x14ac:dyDescent="0.3">
      <c r="A32" s="2" t="s">
        <v>5</v>
      </c>
      <c r="B32" s="3">
        <v>0.21229999999999999</v>
      </c>
      <c r="C32" s="3" cm="1">
        <f t="array" aca="1" ref="C32" ca="1">_xll.YCP(A32,"roc_1")</f>
        <v>1.0508871913018877E-3</v>
      </c>
      <c r="D32" s="3">
        <f t="shared" ca="1" si="2"/>
        <v>2.2310335071339075E-4</v>
      </c>
      <c r="E32" s="4"/>
    </row>
    <row r="33" spans="1:5" x14ac:dyDescent="0.3">
      <c r="A33" s="2" t="s">
        <v>19</v>
      </c>
      <c r="B33" s="3">
        <v>9.0999999999999998E-2</v>
      </c>
      <c r="C33" s="3" cm="1">
        <f t="array" aca="1" ref="C33" ca="1">_xll.YCP(A33,"roc_1")</f>
        <v>-1.1818933932159319E-2</v>
      </c>
      <c r="D33" s="3">
        <f t="shared" ca="1" si="2"/>
        <v>-1.0755229878264979E-3</v>
      </c>
      <c r="E33" s="4"/>
    </row>
    <row r="34" spans="1:5" x14ac:dyDescent="0.3">
      <c r="A34" s="2" t="s">
        <v>20</v>
      </c>
      <c r="B34" s="3">
        <v>0.15160000000000001</v>
      </c>
      <c r="C34" s="3" cm="1">
        <f t="array" aca="1" ref="C34" ca="1">_xll.YCP(A34,"roc_1")</f>
        <v>-5.088278567925454E-3</v>
      </c>
      <c r="D34" s="3">
        <f t="shared" ca="1" si="2"/>
        <v>-7.7138303089749891E-4</v>
      </c>
      <c r="E34" s="4"/>
    </row>
    <row r="35" spans="1:5" x14ac:dyDescent="0.3">
      <c r="A35" s="2" t="s">
        <v>21</v>
      </c>
      <c r="B35" s="3">
        <v>0.05</v>
      </c>
      <c r="C35" s="3" cm="1">
        <f t="array" aca="1" ref="C35" ca="1">_xll.YCP(A35,"roc_1")</f>
        <v>-2.7012425715829281E-3</v>
      </c>
      <c r="D35" s="3">
        <f t="shared" ref="D35:D37" ca="1" si="3">B35*C35</f>
        <v>-1.3506212857914641E-4</v>
      </c>
      <c r="E35" s="4"/>
    </row>
    <row r="36" spans="1:5" x14ac:dyDescent="0.3">
      <c r="A36" s="2" t="s">
        <v>23</v>
      </c>
      <c r="B36" s="3">
        <v>0.02</v>
      </c>
      <c r="C36" s="3" cm="1">
        <f t="array" aca="1" ref="C36" ca="1">_xll.YCP(A36,"roc_1")</f>
        <v>5.3788761371241604E-3</v>
      </c>
      <c r="D36" s="3">
        <f t="shared" ca="1" si="3"/>
        <v>1.0757752274248321E-4</v>
      </c>
      <c r="E36" s="4"/>
    </row>
    <row r="37" spans="1:5" x14ac:dyDescent="0.3">
      <c r="A37" s="2" t="s">
        <v>24</v>
      </c>
      <c r="B37" s="3">
        <v>0.02</v>
      </c>
      <c r="C37" s="3" cm="1">
        <f t="array" aca="1" ref="C37" ca="1">_xll.YCP(A37,"roc_1")</f>
        <v>-1.1641791044776119E-2</v>
      </c>
      <c r="D37" s="3">
        <f t="shared" ca="1" si="3"/>
        <v>-2.3283582089552238E-4</v>
      </c>
      <c r="E37" s="4"/>
    </row>
    <row r="38" spans="1:5" ht="16.2" thickBot="1" x14ac:dyDescent="0.35">
      <c r="A38" s="2" t="s">
        <v>25</v>
      </c>
      <c r="B38" s="3">
        <v>0.04</v>
      </c>
      <c r="C38" s="3" cm="1">
        <f t="array" aca="1" ref="C38" ca="1">_xll.YCP(A38,"roc_1")</f>
        <v>-6.7980965329707678E-4</v>
      </c>
      <c r="D38" s="3">
        <f t="shared" ca="1" si="2"/>
        <v>-2.7192386131883073E-5</v>
      </c>
      <c r="E38" s="4"/>
    </row>
    <row r="39" spans="1:5" ht="16.2" thickBot="1" x14ac:dyDescent="0.35">
      <c r="A39" s="2"/>
      <c r="B39" s="3">
        <f>SUM(B22:B38)</f>
        <v>1</v>
      </c>
      <c r="C39" s="4"/>
      <c r="D39" s="5">
        <f ca="1">SUM(D22:D38)</f>
        <v>-3.2273625966596276E-3</v>
      </c>
      <c r="E39" s="5">
        <f ca="1">D39-Benchmarks!$D$4</f>
        <v>1.8609159712658263E-3</v>
      </c>
    </row>
    <row r="40" spans="1:5" x14ac:dyDescent="0.3">
      <c r="A40" s="2"/>
      <c r="B40" s="3"/>
      <c r="C40" s="4"/>
      <c r="D40" s="27"/>
      <c r="E40" s="27"/>
    </row>
    <row r="41" spans="1:5" x14ac:dyDescent="0.3">
      <c r="A41" s="40" t="s">
        <v>40</v>
      </c>
      <c r="B41" s="40"/>
      <c r="C41" s="40"/>
      <c r="D41" s="40"/>
      <c r="E41" s="4"/>
    </row>
    <row r="42" spans="1:5" x14ac:dyDescent="0.3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3">
      <c r="A43" s="2" t="s">
        <v>51</v>
      </c>
      <c r="B43" s="3">
        <v>0.02</v>
      </c>
      <c r="C43" s="3" cm="1">
        <f t="array" aca="1" ref="C43" ca="1">_xll.YCP("M:FZFXX","roc_1")</f>
        <v>9.1000000000000003E-5</v>
      </c>
      <c r="D43" s="3">
        <f ca="1">B43*C43</f>
        <v>1.8200000000000002E-6</v>
      </c>
      <c r="E43" s="4"/>
    </row>
    <row r="44" spans="1:5" x14ac:dyDescent="0.3">
      <c r="A44" s="2" t="s">
        <v>41</v>
      </c>
      <c r="B44" s="3">
        <v>0.13</v>
      </c>
      <c r="C44" s="3" cm="1">
        <f t="array" aca="1" ref="C44" ca="1">_xll.YCP(A44,"roc_1")</f>
        <v>0</v>
      </c>
      <c r="D44" s="3">
        <f t="shared" ref="D44:D53" ca="1" si="4">B44*C44</f>
        <v>0</v>
      </c>
      <c r="E44" s="4"/>
    </row>
    <row r="45" spans="1:5" x14ac:dyDescent="0.3">
      <c r="A45" s="2" t="s">
        <v>42</v>
      </c>
      <c r="B45" s="3">
        <v>0.06</v>
      </c>
      <c r="C45" s="3" cm="1">
        <f t="array" aca="1" ref="C45" ca="1">_xll.YCP(A45,"roc_1")</f>
        <v>2.9641339788558443E-4</v>
      </c>
      <c r="D45" s="3">
        <f t="shared" ca="1" si="4"/>
        <v>1.7784803873135065E-5</v>
      </c>
      <c r="E45" s="4"/>
    </row>
    <row r="46" spans="1:5" x14ac:dyDescent="0.3">
      <c r="A46" s="2" t="s">
        <v>43</v>
      </c>
      <c r="B46" s="3">
        <v>0.09</v>
      </c>
      <c r="C46" s="3" cm="1">
        <f t="array" aca="1" ref="C46" ca="1">_xll.YCP(A46,"roc_1")</f>
        <v>-1.0198199796036004E-3</v>
      </c>
      <c r="D46" s="3">
        <f t="shared" ca="1" si="4"/>
        <v>-9.1783798164324034E-5</v>
      </c>
      <c r="E46" s="4"/>
    </row>
    <row r="47" spans="1:5" x14ac:dyDescent="0.3">
      <c r="A47" s="2" t="s">
        <v>12</v>
      </c>
      <c r="B47" s="3">
        <v>0.21</v>
      </c>
      <c r="C47" s="3" cm="1">
        <f t="array" aca="1" ref="C47" ca="1">_xll.YCP(A47,"roc_1")</f>
        <v>-3.6860427697978527E-3</v>
      </c>
      <c r="D47" s="3">
        <f t="shared" ca="1" si="4"/>
        <v>-7.7406898165754902E-4</v>
      </c>
      <c r="E47" s="4"/>
    </row>
    <row r="48" spans="1:5" x14ac:dyDescent="0.3">
      <c r="A48" s="2" t="s">
        <v>44</v>
      </c>
      <c r="B48" s="3">
        <v>0.09</v>
      </c>
      <c r="C48" s="3" cm="1">
        <f t="array" aca="1" ref="C48" ca="1">_xll.YCP(A48,"roc_1")</f>
        <v>-2.0449897750511249E-3</v>
      </c>
      <c r="D48" s="3">
        <f t="shared" ca="1" si="4"/>
        <v>-1.8404907975460124E-4</v>
      </c>
      <c r="E48" s="4"/>
    </row>
    <row r="49" spans="1:5" x14ac:dyDescent="0.3">
      <c r="A49" s="2" t="s">
        <v>45</v>
      </c>
      <c r="B49" s="3">
        <v>0.08</v>
      </c>
      <c r="C49" s="3" cm="1">
        <f t="array" aca="1" ref="C49" ca="1">_xll.YCP(A49,"roc_1")</f>
        <v>-5.492558469170801E-3</v>
      </c>
      <c r="D49" s="3">
        <f t="shared" ca="1" si="4"/>
        <v>-4.3940467753366411E-4</v>
      </c>
      <c r="E49" s="4"/>
    </row>
    <row r="50" spans="1:5" x14ac:dyDescent="0.3">
      <c r="A50" s="2" t="s">
        <v>46</v>
      </c>
      <c r="B50" s="3">
        <v>0.12</v>
      </c>
      <c r="C50" s="3" cm="1">
        <f t="array" aca="1" ref="C50" ca="1">_xll.YCP(A50,"roc_1")</f>
        <v>-1.2283691396344309E-2</v>
      </c>
      <c r="D50" s="3">
        <f t="shared" ca="1" si="4"/>
        <v>-1.4740429675613172E-3</v>
      </c>
      <c r="E50" s="4"/>
    </row>
    <row r="51" spans="1:5" x14ac:dyDescent="0.3">
      <c r="A51" s="2" t="s">
        <v>5</v>
      </c>
      <c r="B51" s="3">
        <v>9.3299999999999994E-2</v>
      </c>
      <c r="C51" s="3" cm="1">
        <f t="array" aca="1" ref="C51" ca="1">_xll.YCP(A51,"roc_1")</f>
        <v>1.0508871913018877E-3</v>
      </c>
      <c r="D51" s="3">
        <f t="shared" ca="1" si="4"/>
        <v>9.8047774948466107E-5</v>
      </c>
      <c r="E51" s="4"/>
    </row>
    <row r="52" spans="1:5" x14ac:dyDescent="0.3">
      <c r="A52" s="2" t="s">
        <v>19</v>
      </c>
      <c r="B52" s="3">
        <v>0.04</v>
      </c>
      <c r="C52" s="3" cm="1">
        <f t="array" aca="1" ref="C52" ca="1">_xll.YCP(A52,"roc_1")</f>
        <v>-1.1818933932159319E-2</v>
      </c>
      <c r="D52" s="3">
        <f t="shared" ca="1" si="4"/>
        <v>-4.7275735728637277E-4</v>
      </c>
      <c r="E52" s="4"/>
    </row>
    <row r="53" spans="1:5" ht="16.2" thickBot="1" x14ac:dyDescent="0.35">
      <c r="A53" s="2" t="s">
        <v>20</v>
      </c>
      <c r="B53" s="3">
        <v>6.6699999999999995E-2</v>
      </c>
      <c r="C53" s="3" cm="1">
        <f t="array" aca="1" ref="C53" ca="1">_xll.YCP(A53,"roc_1")</f>
        <v>-5.088278567925454E-3</v>
      </c>
      <c r="D53" s="3">
        <f t="shared" ca="1" si="4"/>
        <v>-3.3938818048062777E-4</v>
      </c>
      <c r="E53" s="4"/>
    </row>
    <row r="54" spans="1:5" ht="16.2" thickBot="1" x14ac:dyDescent="0.35">
      <c r="A54" s="2"/>
      <c r="B54" s="3">
        <f>SUM(B43:B53)</f>
        <v>1</v>
      </c>
      <c r="C54" s="4"/>
      <c r="D54" s="5">
        <f ca="1">SUM(D43:D53)</f>
        <v>-3.6578424636168547E-3</v>
      </c>
      <c r="E54" s="5">
        <f ca="1">D54-Benchmarks!$D$4</f>
        <v>1.4304361043085993E-3</v>
      </c>
    </row>
    <row r="55" spans="1:5" x14ac:dyDescent="0.3">
      <c r="A55" s="2"/>
      <c r="B55" s="3"/>
      <c r="C55" s="4"/>
      <c r="D55" s="27"/>
      <c r="E55" s="27"/>
    </row>
    <row r="56" spans="1:5" x14ac:dyDescent="0.3">
      <c r="A56" s="40" t="s">
        <v>49</v>
      </c>
      <c r="B56" s="40"/>
      <c r="C56" s="40"/>
      <c r="D56" s="40"/>
      <c r="E56" s="4"/>
    </row>
    <row r="57" spans="1:5" x14ac:dyDescent="0.3">
      <c r="A57" s="1" t="s">
        <v>1</v>
      </c>
      <c r="B57" s="1" t="s">
        <v>2</v>
      </c>
      <c r="C57" s="1" t="s">
        <v>3</v>
      </c>
      <c r="D57" s="1" t="s">
        <v>4</v>
      </c>
      <c r="E57" s="1" t="str">
        <f>"+/- Benchmark"</f>
        <v>+/- Benchmark</v>
      </c>
    </row>
    <row r="58" spans="1:5" x14ac:dyDescent="0.3">
      <c r="A58" s="2" t="s">
        <v>51</v>
      </c>
      <c r="B58" s="3">
        <v>0.01</v>
      </c>
      <c r="C58" s="3" cm="1">
        <f t="array" aca="1" ref="C58" ca="1">_xll.YCP("M:FZFXX","roc_1")</f>
        <v>9.1000000000000003E-5</v>
      </c>
      <c r="D58" s="3">
        <f ca="1">B58*C58</f>
        <v>9.1000000000000008E-7</v>
      </c>
      <c r="E58" s="4"/>
    </row>
    <row r="59" spans="1:5" x14ac:dyDescent="0.3">
      <c r="A59" s="2" t="s">
        <v>12</v>
      </c>
      <c r="B59" s="3">
        <v>0.22950000000000001</v>
      </c>
      <c r="C59" s="3" cm="1">
        <f t="array" aca="1" ref="C59" ca="1">_xll.YCP(A59,"roc_1")</f>
        <v>-3.6860427697978527E-3</v>
      </c>
      <c r="D59" s="3">
        <f t="shared" ref="D59:D69" ca="1" si="5">B59*C59</f>
        <v>-8.4594681566860718E-4</v>
      </c>
      <c r="E59" s="4"/>
    </row>
    <row r="60" spans="1:5" x14ac:dyDescent="0.3">
      <c r="A60" s="2" t="s">
        <v>13</v>
      </c>
      <c r="B60" s="3">
        <v>7.0099999999999996E-2</v>
      </c>
      <c r="C60" s="3" cm="1">
        <f t="array" aca="1" ref="C60" ca="1">_xll.YCP(A60,"roc_1")</f>
        <v>-4.0813060179257362E-3</v>
      </c>
      <c r="D60" s="3">
        <f t="shared" ca="1" si="5"/>
        <v>-2.8609955185659411E-4</v>
      </c>
      <c r="E60" s="4"/>
    </row>
    <row r="61" spans="1:5" x14ac:dyDescent="0.3">
      <c r="A61" s="2" t="s">
        <v>14</v>
      </c>
      <c r="B61" s="3">
        <v>7.0099999999999996E-2</v>
      </c>
      <c r="C61" s="3" cm="1">
        <f t="array" aca="1" ref="C61" ca="1">_xll.YCP(A61,"roc_1")</f>
        <v>-1.496398853227047E-2</v>
      </c>
      <c r="D61" s="3">
        <f t="shared" ca="1" si="5"/>
        <v>-1.0489755961121598E-3</v>
      </c>
      <c r="E61" s="4"/>
    </row>
    <row r="62" spans="1:5" x14ac:dyDescent="0.3">
      <c r="A62" s="2" t="s">
        <v>15</v>
      </c>
      <c r="B62" s="3">
        <v>7.0099999999999996E-2</v>
      </c>
      <c r="C62" s="3" cm="1">
        <f t="array" aca="1" ref="C62" ca="1">_xll.YCP(A62,"roc_1")</f>
        <v>8.7668030391583867E-3</v>
      </c>
      <c r="D62" s="3">
        <f t="shared" ca="1" si="5"/>
        <v>6.1455289304500284E-4</v>
      </c>
      <c r="E62" s="4"/>
    </row>
    <row r="63" spans="1:5" x14ac:dyDescent="0.3">
      <c r="A63" s="2" t="s">
        <v>16</v>
      </c>
      <c r="B63" s="3">
        <v>7.0099999999999996E-2</v>
      </c>
      <c r="C63" s="3" cm="1">
        <f t="array" aca="1" ref="C63" ca="1">_xll.YCP(A63,"roc_1")</f>
        <v>-4.8966719229811603E-3</v>
      </c>
      <c r="D63" s="3">
        <f t="shared" ca="1" si="5"/>
        <v>-3.4325670180097932E-4</v>
      </c>
      <c r="E63" s="4"/>
    </row>
    <row r="64" spans="1:5" x14ac:dyDescent="0.3">
      <c r="A64" s="2" t="s">
        <v>17</v>
      </c>
      <c r="B64" s="3">
        <v>6.3E-2</v>
      </c>
      <c r="C64" s="3" cm="1">
        <f t="array" aca="1" ref="C64" ca="1">_xll.YCP(A64,"roc_1")</f>
        <v>7.1164247082265871E-4</v>
      </c>
      <c r="D64" s="3">
        <f t="shared" ca="1" si="5"/>
        <v>4.4833475661827501E-5</v>
      </c>
      <c r="E64" s="4"/>
    </row>
    <row r="65" spans="1:5" x14ac:dyDescent="0.3">
      <c r="A65" s="2" t="s">
        <v>18</v>
      </c>
      <c r="B65" s="3">
        <v>6.3E-2</v>
      </c>
      <c r="C65" s="3" cm="1">
        <f t="array" aca="1" ref="C65" ca="1">_xll.YCP(A65,"roc_1")</f>
        <v>-1.2201321809862735E-2</v>
      </c>
      <c r="D65" s="3">
        <f t="shared" ca="1" si="5"/>
        <v>-7.6868327402135231E-4</v>
      </c>
      <c r="E65" s="4"/>
    </row>
    <row r="66" spans="1:5" x14ac:dyDescent="0.3">
      <c r="A66" s="2" t="s">
        <v>5</v>
      </c>
      <c r="B66" s="3">
        <v>0.13730000000000001</v>
      </c>
      <c r="C66" s="3" cm="1">
        <f t="array" aca="1" ref="C66" ca="1">_xll.YCP(A66,"roc_1")</f>
        <v>1.0508871913018877E-3</v>
      </c>
      <c r="D66" s="3">
        <f t="shared" ca="1" si="5"/>
        <v>1.4428681136574917E-4</v>
      </c>
      <c r="E66" s="4"/>
    </row>
    <row r="67" spans="1:5" x14ac:dyDescent="0.3">
      <c r="A67" s="2" t="s">
        <v>19</v>
      </c>
      <c r="B67" s="3">
        <v>5.8799999999999998E-2</v>
      </c>
      <c r="C67" s="3" cm="1">
        <f t="array" aca="1" ref="C67" ca="1">_xll.YCP(A67,"roc_1")</f>
        <v>-1.1818933932159319E-2</v>
      </c>
      <c r="D67" s="3">
        <f t="shared" ca="1" si="5"/>
        <v>-6.9495331521096789E-4</v>
      </c>
      <c r="E67" s="4"/>
    </row>
    <row r="68" spans="1:5" x14ac:dyDescent="0.3">
      <c r="A68" s="2" t="s">
        <v>20</v>
      </c>
      <c r="B68" s="3">
        <v>9.8000000000000004E-2</v>
      </c>
      <c r="C68" s="3" cm="1">
        <f t="array" aca="1" ref="C68" ca="1">_xll.YCP(A68,"roc_1")</f>
        <v>-5.088278567925454E-3</v>
      </c>
      <c r="D68" s="3">
        <f t="shared" ca="1" si="5"/>
        <v>-4.9865129965669455E-4</v>
      </c>
      <c r="E68" s="4"/>
    </row>
    <row r="69" spans="1:5" ht="16.2" thickBot="1" x14ac:dyDescent="0.35">
      <c r="A69" s="2" t="s">
        <v>21</v>
      </c>
      <c r="B69" s="3">
        <v>0.06</v>
      </c>
      <c r="C69" s="3" cm="1">
        <f t="array" aca="1" ref="C69" ca="1">_xll.YCP(A69,"roc_1")</f>
        <v>-2.7012425715829281E-3</v>
      </c>
      <c r="D69" s="3">
        <f t="shared" ca="1" si="5"/>
        <v>-1.6207455429497568E-4</v>
      </c>
      <c r="E69" s="4"/>
    </row>
    <row r="70" spans="1:5" ht="16.2" thickBot="1" x14ac:dyDescent="0.35">
      <c r="A70" s="2"/>
      <c r="B70" s="3">
        <f>SUM(B58:B69)</f>
        <v>0.99999999999999978</v>
      </c>
      <c r="C70" s="4"/>
      <c r="D70" s="5">
        <f ca="1">SUM(D58:D69)</f>
        <v>-3.8440579285497515E-3</v>
      </c>
      <c r="E70" s="5">
        <f ca="1">D70-Benchmarks!$D$4</f>
        <v>1.2442206393757024E-3</v>
      </c>
    </row>
    <row r="72" spans="1:5" x14ac:dyDescent="0.3">
      <c r="A72" s="40" t="s">
        <v>26</v>
      </c>
      <c r="B72" s="40"/>
      <c r="C72" s="40"/>
      <c r="D72" s="40"/>
      <c r="E72" s="4"/>
    </row>
    <row r="73" spans="1:5" x14ac:dyDescent="0.3">
      <c r="A73" s="1" t="s">
        <v>1</v>
      </c>
      <c r="B73" s="1" t="s">
        <v>2</v>
      </c>
      <c r="C73" s="1" t="s">
        <v>3</v>
      </c>
      <c r="D73" s="1" t="s">
        <v>4</v>
      </c>
      <c r="E73" s="1" t="str">
        <f>"+/- Benchmark"</f>
        <v>+/- Benchmark</v>
      </c>
    </row>
    <row r="74" spans="1:5" x14ac:dyDescent="0.3">
      <c r="A74" s="2" t="s">
        <v>51</v>
      </c>
      <c r="B74" s="3">
        <v>0.01</v>
      </c>
      <c r="C74" s="3" cm="1">
        <f t="array" aca="1" ref="C74" ca="1">_xll.YCP("M:FZFXX","roc_1")</f>
        <v>9.1000000000000003E-5</v>
      </c>
      <c r="D74" s="3">
        <f ca="1">B74*C74</f>
        <v>9.1000000000000008E-7</v>
      </c>
      <c r="E74" s="4"/>
    </row>
    <row r="75" spans="1:5" x14ac:dyDescent="0.3">
      <c r="A75" s="2" t="s">
        <v>5</v>
      </c>
      <c r="B75" s="3">
        <f>0.7*0.3934</f>
        <v>0.27538000000000001</v>
      </c>
      <c r="C75" s="3" cm="1">
        <f t="array" aca="1" ref="C75" ca="1">_xll.YCP(A75,"roc_1")</f>
        <v>1.0508871913018877E-3</v>
      </c>
      <c r="D75" s="3">
        <f t="shared" ref="D75:D80" ca="1" si="6">B75*C75</f>
        <v>2.8939331474071384E-4</v>
      </c>
      <c r="E75" s="4"/>
    </row>
    <row r="76" spans="1:5" x14ac:dyDescent="0.3">
      <c r="A76" s="2" t="s">
        <v>19</v>
      </c>
      <c r="B76" s="3">
        <f>0.3*0.3934</f>
        <v>0.11802</v>
      </c>
      <c r="C76" s="3" cm="1">
        <f t="array" aca="1" ref="C76" ca="1">_xll.YCP(A76,"roc_1")</f>
        <v>-1.1818933932159319E-2</v>
      </c>
      <c r="D76" s="3">
        <f t="shared" ca="1" si="6"/>
        <v>-1.3948705826734428E-3</v>
      </c>
      <c r="E76" s="4"/>
    </row>
    <row r="77" spans="1:5" x14ac:dyDescent="0.3">
      <c r="A77" s="2" t="s">
        <v>17</v>
      </c>
      <c r="B77" s="3">
        <f>0.5*0.25</f>
        <v>0.125</v>
      </c>
      <c r="C77" s="3" cm="1">
        <f t="array" aca="1" ref="C77" ca="1">_xll.YCP(A77,"roc_1")</f>
        <v>7.1164247082265871E-4</v>
      </c>
      <c r="D77" s="3">
        <f t="shared" ca="1" si="6"/>
        <v>8.8955308852832338E-5</v>
      </c>
      <c r="E77" s="4"/>
    </row>
    <row r="78" spans="1:5" x14ac:dyDescent="0.3">
      <c r="A78" s="2" t="s">
        <v>18</v>
      </c>
      <c r="B78" s="3">
        <f>0.5*0.25</f>
        <v>0.125</v>
      </c>
      <c r="C78" s="3" cm="1">
        <f t="array" aca="1" ref="C78" ca="1">_xll.YCP(A78,"roc_1")</f>
        <v>-1.2201321809862735E-2</v>
      </c>
      <c r="D78" s="3">
        <f t="shared" ca="1" si="6"/>
        <v>-1.5251652262328419E-3</v>
      </c>
      <c r="E78" s="4"/>
    </row>
    <row r="79" spans="1:5" x14ac:dyDescent="0.3">
      <c r="A79" s="2" t="s">
        <v>20</v>
      </c>
      <c r="B79" s="3">
        <v>0.1966</v>
      </c>
      <c r="C79" s="3" cm="1">
        <f t="array" aca="1" ref="C79" ca="1">_xll.YCP(A79,"roc_1")</f>
        <v>-5.088278567925454E-3</v>
      </c>
      <c r="D79" s="3">
        <f t="shared" ca="1" si="6"/>
        <v>-1.0003555664541443E-3</v>
      </c>
      <c r="E79" s="4"/>
    </row>
    <row r="80" spans="1:5" ht="16.2" thickBot="1" x14ac:dyDescent="0.35">
      <c r="A80" s="2" t="s">
        <v>13</v>
      </c>
      <c r="B80" s="3">
        <v>0.15</v>
      </c>
      <c r="C80" s="3" cm="1">
        <f t="array" aca="1" ref="C80" ca="1">_xll.YCP(A80,"roc_1")</f>
        <v>-4.0813060179257362E-3</v>
      </c>
      <c r="D80" s="3">
        <f t="shared" ca="1" si="6"/>
        <v>-6.1219590268886046E-4</v>
      </c>
      <c r="E80" s="4"/>
    </row>
    <row r="81" spans="1:5" ht="16.2" thickBot="1" x14ac:dyDescent="0.35">
      <c r="A81" s="2"/>
      <c r="B81" s="3">
        <f>SUM(B74:B80)</f>
        <v>1</v>
      </c>
      <c r="C81" s="4"/>
      <c r="D81" s="5">
        <f ca="1">SUM(D74:D80)</f>
        <v>-4.1533286544557435E-3</v>
      </c>
      <c r="E81" s="5">
        <f ca="1">D81-Benchmarks!$D$4</f>
        <v>9.3494991346971049E-4</v>
      </c>
    </row>
    <row r="83" spans="1:5" x14ac:dyDescent="0.3">
      <c r="A83" s="40" t="s">
        <v>27</v>
      </c>
      <c r="B83" s="40"/>
      <c r="C83" s="40"/>
      <c r="D83" s="40"/>
      <c r="E83" s="4"/>
    </row>
    <row r="84" spans="1:5" x14ac:dyDescent="0.3">
      <c r="A84" s="1" t="s">
        <v>1</v>
      </c>
      <c r="B84" s="1" t="s">
        <v>2</v>
      </c>
      <c r="C84" s="1" t="s">
        <v>3</v>
      </c>
      <c r="D84" s="1" t="s">
        <v>4</v>
      </c>
      <c r="E84" s="1" t="str">
        <f>"+/- Benchmark"</f>
        <v>+/- Benchmark</v>
      </c>
    </row>
    <row r="85" spans="1:5" x14ac:dyDescent="0.3">
      <c r="A85" s="2" t="s">
        <v>51</v>
      </c>
      <c r="B85" s="3">
        <v>0.01</v>
      </c>
      <c r="C85" s="3" cm="1">
        <f t="array" aca="1" ref="C85" ca="1">_xll.YCP("M:FZFXX","roc_1")</f>
        <v>9.1000000000000003E-5</v>
      </c>
      <c r="D85" s="3">
        <f ca="1">B85*C85</f>
        <v>9.1000000000000008E-7</v>
      </c>
      <c r="E85" s="4"/>
    </row>
    <row r="86" spans="1:5" x14ac:dyDescent="0.3">
      <c r="A86" s="2" t="s">
        <v>13</v>
      </c>
      <c r="B86" s="3">
        <v>0.2475</v>
      </c>
      <c r="C86" s="3" cm="1">
        <f t="array" aca="1" ref="C86" ca="1">_xll.YCP(A86,"roc_1")</f>
        <v>-4.0813060179257362E-3</v>
      </c>
      <c r="D86" s="3">
        <f t="shared" ref="D86:D89" ca="1" si="7">B86*C86</f>
        <v>-1.0101232394366198E-3</v>
      </c>
      <c r="E86" s="4"/>
    </row>
    <row r="87" spans="1:5" x14ac:dyDescent="0.3">
      <c r="A87" s="2" t="s">
        <v>15</v>
      </c>
      <c r="B87" s="3">
        <v>0.2475</v>
      </c>
      <c r="C87" s="3" cm="1">
        <f t="array" aca="1" ref="C87" ca="1">_xll.YCP(A87,"roc_1")</f>
        <v>8.7668030391583867E-3</v>
      </c>
      <c r="D87" s="3">
        <f t="shared" ca="1" si="7"/>
        <v>2.1697837521917006E-3</v>
      </c>
      <c r="E87" s="4"/>
    </row>
    <row r="88" spans="1:5" x14ac:dyDescent="0.3">
      <c r="A88" s="2" t="s">
        <v>14</v>
      </c>
      <c r="B88" s="3">
        <v>0.2475</v>
      </c>
      <c r="C88" s="3" cm="1">
        <f t="array" aca="1" ref="C88" ca="1">_xll.YCP(A88,"roc_1")</f>
        <v>-1.496398853227047E-2</v>
      </c>
      <c r="D88" s="3">
        <f t="shared" ca="1" si="7"/>
        <v>-3.7035871617369415E-3</v>
      </c>
      <c r="E88" s="4"/>
    </row>
    <row r="89" spans="1:5" ht="16.2" thickBot="1" x14ac:dyDescent="0.35">
      <c r="A89" s="2" t="s">
        <v>16</v>
      </c>
      <c r="B89" s="3">
        <v>0.2475</v>
      </c>
      <c r="C89" s="3" cm="1">
        <f t="array" aca="1" ref="C89" ca="1">_xll.YCP(A89,"roc_1")</f>
        <v>-4.8966719229811603E-3</v>
      </c>
      <c r="D89" s="3">
        <f t="shared" ca="1" si="7"/>
        <v>-1.2119263009378373E-3</v>
      </c>
      <c r="E89" s="4"/>
    </row>
    <row r="90" spans="1:5" ht="16.2" thickBot="1" x14ac:dyDescent="0.35">
      <c r="A90" s="2"/>
      <c r="B90" s="3">
        <f>SUM(B85:B89)</f>
        <v>1</v>
      </c>
      <c r="C90" s="4"/>
      <c r="D90" s="5">
        <f ca="1">SUM(D85:D89)</f>
        <v>-3.7549429499196983E-3</v>
      </c>
      <c r="E90" s="5">
        <f ca="1">D90-Benchmarks!$D$4</f>
        <v>1.3333356180057557E-3</v>
      </c>
    </row>
  </sheetData>
  <mergeCells count="6">
    <mergeCell ref="A1:D1"/>
    <mergeCell ref="A72:D72"/>
    <mergeCell ref="A20:D20"/>
    <mergeCell ref="A83:D83"/>
    <mergeCell ref="A41:D41"/>
    <mergeCell ref="A56:D56"/>
  </mergeCells>
  <conditionalFormatting sqref="C3:D18 C22:D40 C43:D55 C58:D70 C74:D81 C85:D90">
    <cfRule type="cellIs" dxfId="35" priority="23" operator="lessThan">
      <formula>0</formula>
    </cfRule>
    <cfRule type="cellIs" dxfId="34" priority="24" operator="greaterThan">
      <formula>0</formula>
    </cfRule>
  </conditionalFormatting>
  <conditionalFormatting sqref="E18">
    <cfRule type="cellIs" dxfId="33" priority="21" operator="lessThan">
      <formula>0</formula>
    </cfRule>
    <cfRule type="cellIs" dxfId="32" priority="22" operator="greaterThan">
      <formula>0</formula>
    </cfRule>
  </conditionalFormatting>
  <conditionalFormatting sqref="E39:E40">
    <cfRule type="cellIs" dxfId="31" priority="11" operator="lessThan">
      <formula>0</formula>
    </cfRule>
    <cfRule type="cellIs" dxfId="30" priority="12" operator="greaterThan">
      <formula>0</formula>
    </cfRule>
  </conditionalFormatting>
  <conditionalFormatting sqref="E54:E55">
    <cfRule type="cellIs" dxfId="29" priority="5" operator="lessThan">
      <formula>0</formula>
    </cfRule>
    <cfRule type="cellIs" dxfId="28" priority="6" operator="greaterThan">
      <formula>0</formula>
    </cfRule>
  </conditionalFormatting>
  <conditionalFormatting sqref="E70">
    <cfRule type="cellIs" dxfId="27" priority="1" operator="lessThan">
      <formula>0</formula>
    </cfRule>
    <cfRule type="cellIs" dxfId="26" priority="2" operator="greaterThan">
      <formula>0</formula>
    </cfRule>
  </conditionalFormatting>
  <conditionalFormatting sqref="E81">
    <cfRule type="cellIs" dxfId="25" priority="15" operator="lessThan">
      <formula>0</formula>
    </cfRule>
    <cfRule type="cellIs" dxfId="24" priority="16" operator="greaterThan">
      <formula>0</formula>
    </cfRule>
  </conditionalFormatting>
  <conditionalFormatting sqref="E90">
    <cfRule type="cellIs" dxfId="23" priority="7" operator="lessThan">
      <formula>0</formula>
    </cfRule>
    <cfRule type="cellIs" dxfId="22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A486-BEFF-4177-9D83-D706BC39D492}">
  <dimension ref="A1:E7"/>
  <sheetViews>
    <sheetView workbookViewId="0">
      <selection activeCell="E7" sqref="E7"/>
    </sheetView>
  </sheetViews>
  <sheetFormatPr defaultColWidth="9.109375" defaultRowHeight="15.6" x14ac:dyDescent="0.3"/>
  <cols>
    <col min="1" max="1" width="9.109375" style="2"/>
    <col min="2" max="2" width="11.109375" style="4" bestFit="1" customWidth="1"/>
    <col min="3" max="3" width="9.33203125" style="4" bestFit="1" customWidth="1"/>
    <col min="4" max="4" width="16.6640625" style="4" customWidth="1"/>
    <col min="5" max="5" width="15.5546875" style="4" customWidth="1"/>
    <col min="6" max="16384" width="9.109375" style="4"/>
  </cols>
  <sheetData>
    <row r="1" spans="1:5" x14ac:dyDescent="0.3">
      <c r="A1" s="40" t="s">
        <v>53</v>
      </c>
      <c r="B1" s="40"/>
      <c r="C1" s="40"/>
      <c r="D1" s="40"/>
    </row>
    <row r="2" spans="1:5" s="1" customForma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3">
      <c r="A3" s="2" t="s">
        <v>12</v>
      </c>
      <c r="B3" s="3">
        <v>0.75</v>
      </c>
      <c r="C3" s="3" cm="1">
        <f t="array" aca="1" ref="C3" ca="1">_xll.YCP(A3,"roc_1")</f>
        <v>-3.6860427697978527E-3</v>
      </c>
      <c r="D3" s="3">
        <f ca="1">B3*C3</f>
        <v>-2.7645320773483895E-3</v>
      </c>
    </row>
    <row r="4" spans="1:5" x14ac:dyDescent="0.3">
      <c r="A4" s="2" t="s">
        <v>17</v>
      </c>
      <c r="B4" s="3">
        <v>0.1</v>
      </c>
      <c r="C4" s="3" cm="1">
        <f t="array" aca="1" ref="C4" ca="1">_xll.YCP(A4,"roc_1")</f>
        <v>7.1164247082265871E-4</v>
      </c>
      <c r="D4" s="3">
        <f t="shared" ref="D4:D6" ca="1" si="0">B4*C4</f>
        <v>7.1164247082265873E-5</v>
      </c>
    </row>
    <row r="5" spans="1:5" x14ac:dyDescent="0.3">
      <c r="A5" s="2" t="s">
        <v>18</v>
      </c>
      <c r="B5" s="3">
        <v>0.1</v>
      </c>
      <c r="C5" s="3" cm="1">
        <f t="array" aca="1" ref="C5" ca="1">_xll.YCP(A5,"roc_1")</f>
        <v>-1.2201321809862735E-2</v>
      </c>
      <c r="D5" s="3">
        <f t="shared" ca="1" si="0"/>
        <v>-1.2201321809862736E-3</v>
      </c>
    </row>
    <row r="6" spans="1:5" ht="16.2" thickBot="1" x14ac:dyDescent="0.35">
      <c r="A6" s="2" t="s">
        <v>54</v>
      </c>
      <c r="B6" s="3">
        <v>0.05</v>
      </c>
      <c r="C6" s="3" cm="1">
        <f t="array" aca="1" ref="C6" ca="1">_xll.YCP(A6,"roc_1")</f>
        <v>7.7474438705597134E-3</v>
      </c>
      <c r="D6" s="3">
        <f t="shared" ca="1" si="0"/>
        <v>3.8737219352798571E-4</v>
      </c>
    </row>
    <row r="7" spans="1:5" ht="16.2" thickBot="1" x14ac:dyDescent="0.35">
      <c r="B7" s="3">
        <f>SUM(B3:B6)</f>
        <v>1</v>
      </c>
      <c r="D7" s="5">
        <f ca="1">SUM(D3:D6)</f>
        <v>-3.5261278177244112E-3</v>
      </c>
      <c r="E7" s="5">
        <f ca="1">D7-Benchmarks!$D$4</f>
        <v>1.5621507502010428E-3</v>
      </c>
    </row>
  </sheetData>
  <mergeCells count="1">
    <mergeCell ref="A1:D1"/>
  </mergeCells>
  <conditionalFormatting sqref="C3:D7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E7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1"/>
  <sheetViews>
    <sheetView showGridLines="0" tabSelected="1" topLeftCell="A2" zoomScale="140" zoomScaleNormal="140" workbookViewId="0">
      <selection activeCell="H5" sqref="H5"/>
    </sheetView>
  </sheetViews>
  <sheetFormatPr defaultRowHeight="21" customHeight="1" x14ac:dyDescent="0.3"/>
  <cols>
    <col min="1" max="1" width="13.44140625" customWidth="1"/>
    <col min="2" max="2" width="10.21875" customWidth="1"/>
    <col min="3" max="3" width="9.44140625" style="8" customWidth="1"/>
    <col min="4" max="4" width="11.88671875" style="8" customWidth="1"/>
    <col min="5" max="5" width="10.88671875" style="8" bestFit="1" customWidth="1"/>
    <col min="6" max="6" width="12" customWidth="1"/>
  </cols>
  <sheetData>
    <row r="1" spans="1:6" ht="21" customHeight="1" thickBot="1" x14ac:dyDescent="0.35">
      <c r="A1" s="30" t="s">
        <v>52</v>
      </c>
      <c r="B1" s="31">
        <f ca="1">TODAY()-1</f>
        <v>46078</v>
      </c>
    </row>
    <row r="2" spans="1:6" ht="21" customHeight="1" thickBot="1" x14ac:dyDescent="0.35">
      <c r="A2" s="38" t="s">
        <v>28</v>
      </c>
      <c r="B2" s="39"/>
      <c r="C2" s="16" t="s">
        <v>29</v>
      </c>
      <c r="D2" s="16" t="str">
        <f>"+/- Bench"</f>
        <v>+/- Bench</v>
      </c>
      <c r="E2" s="20" t="s">
        <v>30</v>
      </c>
      <c r="F2" s="17" t="str">
        <f>"+/- Bench"</f>
        <v>+/- Bench</v>
      </c>
    </row>
    <row r="3" spans="1:6" ht="21" customHeight="1" thickTop="1" x14ac:dyDescent="0.35">
      <c r="A3" s="34" t="s">
        <v>0</v>
      </c>
      <c r="B3" s="35"/>
      <c r="C3" s="12">
        <f ca="1">Benchmarks!D4</f>
        <v>-5.088278567925454E-3</v>
      </c>
      <c r="D3" s="18"/>
      <c r="E3" s="21" cm="1">
        <f t="array" aca="1" ref="E3" ca="1">_xll.YCP("SPYM","ytd_total_return")</f>
        <v>1.6704E-2</v>
      </c>
      <c r="F3" s="13"/>
    </row>
    <row r="4" spans="1:6" ht="21" customHeight="1" x14ac:dyDescent="0.35">
      <c r="A4" s="34" t="s">
        <v>31</v>
      </c>
      <c r="B4" s="35"/>
      <c r="C4" s="12">
        <f ca="1">Benchmarks!D9</f>
        <v>1.0508871913018877E-3</v>
      </c>
      <c r="D4" s="18"/>
      <c r="E4" s="21" cm="1">
        <f t="array" aca="1" ref="E4" ca="1">_xll.YCP("DIA","ytd_total_return")</f>
        <v>3.1297999999999999E-2</v>
      </c>
      <c r="F4" s="13"/>
    </row>
    <row r="5" spans="1:6" ht="21" customHeight="1" x14ac:dyDescent="0.35">
      <c r="A5" s="35" t="s">
        <v>6</v>
      </c>
      <c r="B5" s="35"/>
      <c r="C5" s="12">
        <f ca="1">Benchmarks!D14</f>
        <v>-1.2064604008561977E-2</v>
      </c>
      <c r="D5" s="18"/>
      <c r="E5" s="21" cm="1">
        <f t="array" aca="1" ref="E5" ca="1">_xll.YCP("QQQ","ytd_total_return")</f>
        <v>3.8579999999999999E-3</v>
      </c>
      <c r="F5" s="12"/>
    </row>
    <row r="6" spans="1:6" ht="21" customHeight="1" x14ac:dyDescent="0.35">
      <c r="A6" s="23" t="s">
        <v>37</v>
      </c>
      <c r="B6" s="26"/>
      <c r="C6" s="12">
        <f ca="1">Benchmarks!D19</f>
        <v>1.3361045130641329E-3</v>
      </c>
      <c r="D6" s="18"/>
      <c r="E6" s="21" cm="1">
        <f t="array" aca="1" ref="E6" ca="1">_xll.YCP("AGG","ytd_total_return")</f>
        <v>1.4907999999999999E-2</v>
      </c>
      <c r="F6" s="13"/>
    </row>
    <row r="7" spans="1:6" ht="21" customHeight="1" x14ac:dyDescent="0.35">
      <c r="A7" s="23" t="s">
        <v>38</v>
      </c>
      <c r="B7" s="26"/>
      <c r="C7" s="12">
        <f ca="1">Benchmarks!D24</f>
        <v>1.2924667651403249E-3</v>
      </c>
      <c r="D7" s="18"/>
      <c r="E7" s="21" cm="1">
        <f t="array" aca="1" ref="E7" ca="1">_xll.YCP("UUP","ytd_total_return")</f>
        <v>1.8500000000000001E-3</v>
      </c>
      <c r="F7" s="13"/>
    </row>
    <row r="8" spans="1:6" ht="21" customHeight="1" thickBot="1" x14ac:dyDescent="0.4">
      <c r="A8" s="24" t="s">
        <v>48</v>
      </c>
      <c r="B8" s="25"/>
      <c r="C8" s="14">
        <f ca="1">Benchmarks!D29</f>
        <v>-6.7980965329707678E-4</v>
      </c>
      <c r="D8" s="19"/>
      <c r="E8" s="22" cm="1">
        <f t="array" aca="1" ref="E8" ca="1">_xll.YCP("PDBC","ytd_total_return")</f>
        <v>0.110189</v>
      </c>
      <c r="F8" s="15"/>
    </row>
    <row r="9" spans="1:6" ht="21" customHeight="1" thickTop="1" x14ac:dyDescent="0.3">
      <c r="A9" s="36" t="s">
        <v>32</v>
      </c>
      <c r="B9" s="37"/>
      <c r="C9" s="12">
        <f ca="1">NelsonCorp!D18</f>
        <v>-2.8771470974569583E-3</v>
      </c>
      <c r="D9" s="12">
        <f ca="1">NelsonCorp!E18</f>
        <v>2.2111314704684956E-3</v>
      </c>
      <c r="E9" s="21" cm="1">
        <f t="array" aca="1" ref="E9" ca="1">_xll.YCP("P:552644","ytd_total_return")</f>
        <v>1.8731999999999999E-2</v>
      </c>
      <c r="F9" s="13">
        <f ca="1">E9-$E$3</f>
        <v>2.0279999999999986E-3</v>
      </c>
    </row>
    <row r="10" spans="1:6" ht="21" customHeight="1" x14ac:dyDescent="0.3">
      <c r="A10" s="36" t="s">
        <v>33</v>
      </c>
      <c r="B10" s="37"/>
      <c r="C10" s="12">
        <f ca="1">NelsonCorp!D39</f>
        <v>-3.2273625966596276E-3</v>
      </c>
      <c r="D10" s="12">
        <f ca="1">NelsonCorp!E39</f>
        <v>1.8609159712658263E-3</v>
      </c>
      <c r="E10" s="21" cm="1">
        <f t="array" aca="1" ref="E10" ca="1">_xll.YCP("P:555767","ytd_total_return")</f>
        <v>2.4289999999999999E-2</v>
      </c>
      <c r="F10" s="13">
        <f t="shared" ref="F10:F14" ca="1" si="0">E10-$E$3</f>
        <v>7.585999999999999E-3</v>
      </c>
    </row>
    <row r="11" spans="1:6" ht="21" customHeight="1" x14ac:dyDescent="0.3">
      <c r="A11" s="36" t="s">
        <v>47</v>
      </c>
      <c r="B11" s="37"/>
      <c r="C11" s="12">
        <f ca="1">NelsonCorp!D54</f>
        <v>-3.6578424636168547E-3</v>
      </c>
      <c r="D11" s="12">
        <f ca="1">NelsonCorp!E54</f>
        <v>1.4304361043085993E-3</v>
      </c>
      <c r="E11" s="21" cm="1">
        <f t="array" aca="1" ref="E11" ca="1">_xll.YCP("P:1146880","ytd_total_return")</f>
        <v>1.1707E-2</v>
      </c>
      <c r="F11" s="13">
        <f t="shared" ref="F11" ca="1" si="1">E11-$E$3</f>
        <v>-4.9969999999999997E-3</v>
      </c>
    </row>
    <row r="12" spans="1:6" ht="21" customHeight="1" x14ac:dyDescent="0.3">
      <c r="A12" s="28" t="s">
        <v>50</v>
      </c>
      <c r="B12" s="29"/>
      <c r="C12" s="12">
        <f ca="1">NelsonCorp!D70</f>
        <v>-3.8440579285497515E-3</v>
      </c>
      <c r="D12" s="12">
        <f ca="1">NelsonCorp!E70</f>
        <v>1.2442206393757024E-3</v>
      </c>
      <c r="E12" s="21" cm="1">
        <f t="array" aca="1" ref="E12" ca="1">_xll.YCP("P:597223","ytd_total_return")</f>
        <v>2.0492E-2</v>
      </c>
      <c r="F12" s="13">
        <f t="shared" ref="F12" ca="1" si="2">E12-$E$3</f>
        <v>3.7879999999999997E-3</v>
      </c>
    </row>
    <row r="13" spans="1:6" ht="21" customHeight="1" x14ac:dyDescent="0.3">
      <c r="A13" s="36" t="s">
        <v>34</v>
      </c>
      <c r="B13" s="37"/>
      <c r="C13" s="12">
        <f ca="1">NelsonCorp!D81</f>
        <v>-4.1533286544557435E-3</v>
      </c>
      <c r="D13" s="12">
        <f ca="1">NelsonCorp!E81</f>
        <v>9.3494991346971049E-4</v>
      </c>
      <c r="E13" s="21" cm="1">
        <f t="array" aca="1" ref="E13" ca="1">_xll.YCP("P:1297251","ytd_total_return")</f>
        <v>1.3873E-2</v>
      </c>
      <c r="F13" s="13">
        <f t="shared" ca="1" si="0"/>
        <v>-2.8310000000000002E-3</v>
      </c>
    </row>
    <row r="14" spans="1:6" ht="21" customHeight="1" thickBot="1" x14ac:dyDescent="0.35">
      <c r="A14" s="32" t="s">
        <v>35</v>
      </c>
      <c r="B14" s="33"/>
      <c r="C14" s="14">
        <f ca="1">NelsonCorp!D90</f>
        <v>-3.7549429499196983E-3</v>
      </c>
      <c r="D14" s="14">
        <f ca="1">NelsonCorp!E90</f>
        <v>1.3333356180057557E-3</v>
      </c>
      <c r="E14" s="22" cm="1">
        <f t="array" aca="1" ref="E14" ca="1">_xll.YCP("P:1729042","ytd_total_return")</f>
        <v>3.3210000000000003E-2</v>
      </c>
      <c r="F14" s="15">
        <f t="shared" ca="1" si="0"/>
        <v>1.6506000000000003E-2</v>
      </c>
    </row>
    <row r="15" spans="1:6" ht="21" customHeight="1" thickTop="1" thickBot="1" x14ac:dyDescent="0.4">
      <c r="A15" s="41" t="s">
        <v>55</v>
      </c>
      <c r="B15" s="42"/>
      <c r="C15" s="43">
        <f ca="1">Personal!D7</f>
        <v>-3.5261278177244112E-3</v>
      </c>
      <c r="D15" s="43">
        <f ca="1">Personal!E7</f>
        <v>1.5621507502010428E-3</v>
      </c>
      <c r="E15" s="44" cm="1">
        <f t="array" aca="1" ref="E15" ca="1">_xll.YCP("P:1969297","ytd_total_return")</f>
        <v>2.0233000000000001E-2</v>
      </c>
      <c r="F15" s="45">
        <f ca="1">E15-$E$3</f>
        <v>3.5290000000000009E-3</v>
      </c>
    </row>
    <row r="16" spans="1:6" ht="21" customHeight="1" x14ac:dyDescent="0.3">
      <c r="A16" s="10"/>
      <c r="B16" s="10"/>
    </row>
    <row r="17" spans="1:9" ht="21" customHeight="1" x14ac:dyDescent="0.3">
      <c r="A17" s="10"/>
      <c r="B17" s="10"/>
    </row>
    <row r="18" spans="1:9" ht="21" customHeight="1" x14ac:dyDescent="0.3">
      <c r="A18" s="9"/>
      <c r="B18" s="9"/>
    </row>
    <row r="19" spans="1:9" ht="21" customHeight="1" x14ac:dyDescent="0.4">
      <c r="A19" s="11"/>
      <c r="B19" s="11"/>
    </row>
    <row r="20" spans="1:9" ht="21" customHeight="1" x14ac:dyDescent="0.3">
      <c r="A20" s="10"/>
      <c r="B20" s="10"/>
    </row>
    <row r="21" spans="1:9" ht="21" customHeight="1" x14ac:dyDescent="0.3">
      <c r="A21" s="10"/>
      <c r="B21" s="10"/>
    </row>
    <row r="22" spans="1:9" ht="21" customHeight="1" x14ac:dyDescent="0.4">
      <c r="A22" s="11"/>
      <c r="B22" s="11"/>
    </row>
    <row r="23" spans="1:9" ht="21" customHeight="1" x14ac:dyDescent="0.3">
      <c r="A23" s="10"/>
      <c r="B23" s="10"/>
    </row>
    <row r="24" spans="1:9" ht="21" customHeight="1" x14ac:dyDescent="0.3">
      <c r="A24" s="10"/>
      <c r="B24" s="10"/>
      <c r="I24" s="7"/>
    </row>
    <row r="25" spans="1:9" ht="21" customHeight="1" x14ac:dyDescent="0.3">
      <c r="A25" s="9"/>
      <c r="B25" s="9"/>
    </row>
    <row r="26" spans="1:9" ht="21" customHeight="1" x14ac:dyDescent="0.4">
      <c r="A26" s="11"/>
      <c r="B26" s="11"/>
    </row>
    <row r="27" spans="1:9" ht="21" customHeight="1" x14ac:dyDescent="0.3">
      <c r="A27" s="10"/>
      <c r="B27" s="10"/>
    </row>
    <row r="28" spans="1:9" ht="21" customHeight="1" x14ac:dyDescent="0.3">
      <c r="A28" s="10"/>
      <c r="B28" s="10"/>
    </row>
    <row r="29" spans="1:9" ht="21" customHeight="1" x14ac:dyDescent="0.4">
      <c r="A29" s="11"/>
      <c r="B29" s="11"/>
    </row>
    <row r="30" spans="1:9" ht="21" customHeight="1" x14ac:dyDescent="0.3">
      <c r="A30" s="10"/>
      <c r="B30" s="10"/>
    </row>
    <row r="31" spans="1:9" ht="21" customHeight="1" x14ac:dyDescent="0.3">
      <c r="A31" s="10"/>
      <c r="B31" s="10"/>
    </row>
  </sheetData>
  <mergeCells count="10">
    <mergeCell ref="A15:B15"/>
    <mergeCell ref="A14:B14"/>
    <mergeCell ref="A3:B3"/>
    <mergeCell ref="A13:B13"/>
    <mergeCell ref="A2:B2"/>
    <mergeCell ref="A9:B9"/>
    <mergeCell ref="A4:B4"/>
    <mergeCell ref="A5:B5"/>
    <mergeCell ref="A10:B10"/>
    <mergeCell ref="A11:B11"/>
  </mergeCells>
  <conditionalFormatting sqref="A16">
    <cfRule type="cellIs" dxfId="21" priority="29" operator="lessThan">
      <formula>0</formula>
    </cfRule>
    <cfRule type="cellIs" dxfId="20" priority="30" operator="greaterThan">
      <formula>0</formula>
    </cfRule>
  </conditionalFormatting>
  <conditionalFormatting sqref="A23">
    <cfRule type="cellIs" dxfId="19" priority="23" operator="lessThan">
      <formula>0</formula>
    </cfRule>
    <cfRule type="cellIs" dxfId="18" priority="24" operator="greaterThan">
      <formula>0</formula>
    </cfRule>
  </conditionalFormatting>
  <conditionalFormatting sqref="A27">
    <cfRule type="cellIs" dxfId="17" priority="19" operator="lessThan">
      <formula>0</formula>
    </cfRule>
    <cfRule type="cellIs" dxfId="16" priority="20" operator="greaterThan">
      <formula>0</formula>
    </cfRule>
  </conditionalFormatting>
  <conditionalFormatting sqref="A30">
    <cfRule type="cellIs" dxfId="15" priority="17" operator="lessThan">
      <formula>0</formula>
    </cfRule>
    <cfRule type="cellIs" dxfId="14" priority="18" operator="greaterThan">
      <formula>0</formula>
    </cfRule>
  </conditionalFormatting>
  <conditionalFormatting sqref="C3:C14 E3:F14 A20">
    <cfRule type="cellIs" dxfId="13" priority="25" operator="lessThan">
      <formula>0</formula>
    </cfRule>
    <cfRule type="cellIs" dxfId="12" priority="26" operator="greaterThan">
      <formula>0</formula>
    </cfRule>
  </conditionalFormatting>
  <conditionalFormatting sqref="D9:D14">
    <cfRule type="cellIs" dxfId="11" priority="11" operator="lessThan">
      <formula>0</formula>
    </cfRule>
    <cfRule type="cellIs" dxfId="10" priority="12" operator="greaterThan">
      <formula>0</formula>
    </cfRule>
  </conditionalFormatting>
  <conditionalFormatting sqref="C1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D15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15:F1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Benchmarks</vt:lpstr>
      <vt:lpstr>NelsonCorp</vt:lpstr>
      <vt:lpstr>Personal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2026-02-26T20:06:24Z</dcterms:modified>
  <cp:category/>
  <cp:contentStatus/>
</cp:coreProperties>
</file>