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10" documentId="13_ncr:1_{79868D33-B28A-4CBE-A259-4FFF938C63A4}" xr6:coauthVersionLast="47" xr6:coauthVersionMax="47" xr10:uidLastSave="{3968B0EB-DC48-4027-832B-7879B4277D47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 a="1"/>
  <c r="C4" i="5" s="1"/>
  <c r="D4" i="5" s="1"/>
  <c r="C87" i="3" a="1"/>
  <c r="C87" i="3" s="1"/>
  <c r="D87" i="3" s="1"/>
  <c r="B89" i="3"/>
  <c r="C12" i="3" a="1"/>
  <c r="C12" i="3" s="1"/>
  <c r="D12" i="3" s="1"/>
  <c r="C16" i="5" a="1"/>
  <c r="C16" i="5" s="1"/>
  <c r="D16" i="5" s="1"/>
  <c r="B17" i="5"/>
  <c r="C14" i="5" a="1"/>
  <c r="C14" i="5" s="1"/>
  <c r="D14" i="5" s="1"/>
  <c r="C9" i="5" a="1"/>
  <c r="C9" i="5" s="1"/>
  <c r="D9" i="5" s="1"/>
  <c r="C7" i="5" a="1"/>
  <c r="C7" i="5" s="1"/>
  <c r="D7" i="5" s="1"/>
  <c r="C8" i="5" a="1"/>
  <c r="C8" i="5" s="1"/>
  <c r="D8" i="5" s="1"/>
  <c r="C10" i="5" a="1"/>
  <c r="C10" i="5" s="1"/>
  <c r="D10" i="5" s="1"/>
  <c r="C11" i="5" a="1"/>
  <c r="C11" i="5" s="1"/>
  <c r="D11" i="5" s="1"/>
  <c r="C12" i="5" a="1"/>
  <c r="C12" i="5" s="1"/>
  <c r="D12" i="5" s="1"/>
  <c r="C13" i="5" a="1"/>
  <c r="C13" i="5" s="1"/>
  <c r="D13" i="5" s="1"/>
  <c r="C15" i="5" a="1"/>
  <c r="C15" i="5" s="1"/>
  <c r="D15" i="5" s="1"/>
  <c r="E15" i="2" a="1"/>
  <c r="E15" i="2" s="1"/>
  <c r="C6" i="5" a="1"/>
  <c r="C6" i="5" s="1"/>
  <c r="D6" i="5" s="1"/>
  <c r="C5" i="5" a="1"/>
  <c r="C5" i="5" s="1"/>
  <c r="D5" i="5" s="1"/>
  <c r="C3" i="5" a="1"/>
  <c r="C3" i="5" s="1"/>
  <c r="D3" i="5" s="1"/>
  <c r="E2" i="5"/>
  <c r="B1" i="2"/>
  <c r="B69" i="3"/>
  <c r="E56" i="3"/>
  <c r="C57" i="3" a="1"/>
  <c r="C68" i="3" a="1"/>
  <c r="C64" i="3" a="1"/>
  <c r="C62" i="3" a="1"/>
  <c r="E4" i="2" a="1"/>
  <c r="E3" i="2" a="1"/>
  <c r="E8" i="2" a="1"/>
  <c r="E9" i="2" a="1"/>
  <c r="C59" i="3" a="1"/>
  <c r="E6" i="2" a="1"/>
  <c r="E12" i="2" a="1"/>
  <c r="E13" i="2" a="1"/>
  <c r="C58" i="3" a="1"/>
  <c r="C63" i="3" a="1"/>
  <c r="E10" i="2" a="1"/>
  <c r="E7" i="2" a="1"/>
  <c r="C67" i="3" a="1"/>
  <c r="E5" i="2" a="1"/>
  <c r="E11" i="2" a="1"/>
  <c r="C61" i="3" a="1"/>
  <c r="C65" i="3" a="1"/>
  <c r="C60" i="3" a="1"/>
  <c r="C66" i="3" a="1"/>
  <c r="E14" i="2" a="1"/>
  <c r="D17" i="5" l="1"/>
  <c r="C15" i="2"/>
  <c r="E3" i="2"/>
  <c r="E14" i="2"/>
  <c r="E13" i="2"/>
  <c r="E12" i="2"/>
  <c r="E11" i="2"/>
  <c r="E10" i="2"/>
  <c r="E9" i="2"/>
  <c r="E8" i="2"/>
  <c r="E7" i="2"/>
  <c r="E6" i="2"/>
  <c r="E5" i="2"/>
  <c r="E4" i="2"/>
  <c r="C57" i="3"/>
  <c r="D57" i="3" s="1"/>
  <c r="C65" i="3"/>
  <c r="D65" i="3" s="1"/>
  <c r="C60" i="3"/>
  <c r="D60" i="3" s="1"/>
  <c r="C68" i="3"/>
  <c r="D68" i="3" s="1"/>
  <c r="C63" i="3"/>
  <c r="D63" i="3" s="1"/>
  <c r="C58" i="3"/>
  <c r="D58" i="3" s="1"/>
  <c r="C61" i="3"/>
  <c r="D61" i="3" s="1"/>
  <c r="C66" i="3"/>
  <c r="D66" i="3" s="1"/>
  <c r="C64" i="3"/>
  <c r="D64" i="3" s="1"/>
  <c r="C59" i="3"/>
  <c r="D59" i="3" s="1"/>
  <c r="C67" i="3"/>
  <c r="D67" i="3" s="1"/>
  <c r="C62" i="3"/>
  <c r="D62" i="3" s="1"/>
  <c r="F15" i="2" l="1"/>
  <c r="D69" i="3"/>
  <c r="C12" i="2" s="1"/>
  <c r="B53" i="3" l="1"/>
  <c r="E42" i="3"/>
  <c r="C44" i="3" a="1"/>
  <c r="C45" i="3" a="1"/>
  <c r="C48" i="3" a="1"/>
  <c r="C52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47" i="3"/>
  <c r="D47" i="3" s="1"/>
  <c r="C50" i="3"/>
  <c r="D50" i="3" s="1"/>
  <c r="C46" i="3"/>
  <c r="D46" i="3" s="1"/>
  <c r="C45" i="3"/>
  <c r="D45" i="3" s="1"/>
  <c r="C52" i="3"/>
  <c r="D52" i="3" s="1"/>
  <c r="C48" i="3"/>
  <c r="D48" i="3" s="1"/>
  <c r="D53" i="3" l="1"/>
  <c r="C11" i="2" s="1"/>
  <c r="F2" i="2" l="1"/>
  <c r="E82" i="3"/>
  <c r="D2" i="2"/>
  <c r="B39" i="3"/>
  <c r="B18" i="3"/>
  <c r="E21" i="3"/>
  <c r="E72" i="3"/>
  <c r="C25" i="3" a="1"/>
  <c r="C34" i="3" a="1"/>
  <c r="C23" i="3" a="1"/>
  <c r="C33" i="3" a="1"/>
  <c r="C32" i="3" a="1"/>
  <c r="C23" i="4" a="1"/>
  <c r="C36" i="3" a="1"/>
  <c r="C88" i="3" a="1"/>
  <c r="C73" i="3" a="1"/>
  <c r="C84" i="3" a="1"/>
  <c r="C37" i="3" a="1"/>
  <c r="C31" i="3" a="1"/>
  <c r="C26" i="3" a="1"/>
  <c r="C18" i="4" a="1"/>
  <c r="C24" i="3" a="1"/>
  <c r="C83" i="3" a="1"/>
  <c r="C38" i="3" a="1"/>
  <c r="C86" i="3" a="1"/>
  <c r="C30" i="3" a="1"/>
  <c r="C35" i="3" a="1"/>
  <c r="C28" i="3" a="1"/>
  <c r="C85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8" i="3"/>
  <c r="D88" i="3" s="1"/>
  <c r="C85" i="3"/>
  <c r="D85" i="3" s="1"/>
  <c r="C86" i="3"/>
  <c r="D86" i="3" s="1"/>
  <c r="C83" i="3"/>
  <c r="D83" i="3" s="1"/>
  <c r="C84" i="3"/>
  <c r="D84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3" i="3"/>
  <c r="D73" i="3" s="1"/>
  <c r="C74" i="3" a="1"/>
  <c r="D89" i="3" l="1"/>
  <c r="C14" i="2" s="1"/>
  <c r="D39" i="3"/>
  <c r="C10" i="2" s="1"/>
  <c r="C74" i="3"/>
  <c r="D74" i="3" s="1"/>
  <c r="E2" i="3" l="1"/>
  <c r="C15" i="3" a="1"/>
  <c r="C10" i="3" a="1"/>
  <c r="C6" i="3" a="1"/>
  <c r="C5" i="3" a="1"/>
  <c r="C9" i="3" a="1"/>
  <c r="C14" i="3" a="1"/>
  <c r="C3" i="4" a="1"/>
  <c r="C3" i="3" a="1"/>
  <c r="C13" i="3" a="1"/>
  <c r="C77" i="3" a="1"/>
  <c r="C7" i="3" a="1"/>
  <c r="C8" i="4" a="1"/>
  <c r="C17" i="3" a="1"/>
  <c r="C4" i="3" a="1"/>
  <c r="C11" i="3" a="1"/>
  <c r="C16" i="3" a="1"/>
  <c r="C75" i="3" a="1"/>
  <c r="C76" i="3" a="1"/>
  <c r="C78" i="3" a="1"/>
  <c r="C13" i="4" a="1"/>
  <c r="C8" i="3" a="1"/>
  <c r="B79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5" i="3"/>
  <c r="D75" i="3" s="1"/>
  <c r="C77" i="3"/>
  <c r="D77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69" i="3" l="1"/>
  <c r="D12" i="2" s="1"/>
  <c r="E17" i="5"/>
  <c r="D15" i="2" s="1"/>
  <c r="E53" i="3"/>
  <c r="D11" i="2" s="1"/>
  <c r="E39" i="3"/>
  <c r="D10" i="2" s="1"/>
  <c r="E89" i="3"/>
  <c r="D14" i="2" s="1"/>
  <c r="C3" i="2"/>
  <c r="D79" i="3"/>
  <c r="C13" i="2" l="1"/>
  <c r="E79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<sst xmlns="http://schemas.openxmlformats.org/spreadsheetml/2006/main" count="168" uniqueCount="62">
  <si>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</si>
  <si>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</si>
  <si>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</si>
  <si>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</si>
  <si>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</si>
  <si>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</si>
  <si>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</si>
  <si>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</si>
  <si>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</si>
  <si>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</si>
  <si>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TIP</t>
  </si>
  <si>
    <t>VTI</t>
  </si>
  <si>
    <t>XLK</t>
  </si>
  <si>
    <t>AMLP</t>
  </si>
  <si>
    <t>SPMO</t>
  </si>
  <si>
    <t>VEA</t>
  </si>
  <si>
    <t>VWO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</si>
  <si>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</si>
  <si>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</si>
  <si>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</si>
  <si>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</si>
  <si>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</si>
  <si>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</si>
  <si>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</si>
  <si>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</si>
  <si>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</si>
  <si>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</si>
  <si>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</si>
  <si>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</si>
  <si>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</si>
  <si>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</si>
  <si>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</si>
  <si>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</si>
  <si>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</si>
  <si>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</si>
  <si>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</si>
  <si>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</si>
  <si>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</si>
  <si>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</si>
  <si>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</si>
  <si>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</si>
  <si>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</si>
  <si>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</si>
  <si>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</si>
  <si>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</si>
  <si>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</si>
  <si>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</si>
  <si>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</si>
  <si>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</si>
  <si>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</si>
  <si>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</si>
  <si>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</si>
  <si>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</si>
  <si>
    <t>USMV</t>
  </si>
  <si>
    <t>SPLV</t>
  </si>
  <si>
    <t>SHV</t>
  </si>
  <si>
    <t>BIL</t>
  </si>
  <si>
    <t>JPST</t>
  </si>
  <si>
    <t>MINT</t>
  </si>
  <si>
    <t>GSY</t>
  </si>
  <si>
    <t>JMST</t>
  </si>
  <si>
    <t>VOO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</si>
</sst>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17</v>
      </c>
      <c r="B3" s="3">
        <v>1</v>
      </c>
      <c r="C3" s="3" cm="1">
        <f t="array" aca="1" ref="C3" ca="1">_xll.YCP(A3,"roc_1")</f>
        <v>1.1497256336556049E-2</v>
      </c>
      <c r="D3" s="3">
        <f ca="1">B3*C3</f>
        <v>1.1497256336556049E-2</v>
      </c>
    </row>
    <row r="4" spans="1:4" ht="16.2" thickBot="1" x14ac:dyDescent="0.35">
      <c r="A4" s="2"/>
      <c r="B4" s="3"/>
      <c r="C4" s="4"/>
      <c r="D4" s="5">
        <f ca="1">SUM(D3:D3)</f>
        <v>1.1497256336556049E-2</v>
      </c>
    </row>
    <row r="6" spans="1:4" ht="15.6" x14ac:dyDescent="0.3">
      <c r="A6" s="45" t="s">
        <v>28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9.089142684427556E-3</v>
      </c>
      <c r="D8" s="3">
        <f ca="1">B8*C8</f>
        <v>9.089142684427556E-3</v>
      </c>
    </row>
    <row r="9" spans="1:4" ht="16.2" thickBot="1" x14ac:dyDescent="0.35">
      <c r="A9" s="2"/>
      <c r="B9" s="3"/>
      <c r="C9" s="4"/>
      <c r="D9" s="5">
        <f ca="1">SUM(D8:D8)</f>
        <v>9.089142684427556E-3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1.6961779687445857E-2</v>
      </c>
      <c r="D13" s="3">
        <f ca="1">B13*C13</f>
        <v>1.6961779687445857E-2</v>
      </c>
    </row>
    <row r="14" spans="1:4" ht="16.2" thickBot="1" x14ac:dyDescent="0.35">
      <c r="A14" s="2"/>
      <c r="B14" s="3"/>
      <c r="C14" s="4"/>
      <c r="D14" s="5">
        <f ca="1">SUM(D13:D13)</f>
        <v>1.6961779687445857E-2</v>
      </c>
    </row>
    <row r="16" spans="1:4" ht="15.6" x14ac:dyDescent="0.3">
      <c r="A16" s="45" t="s">
        <v>34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33</v>
      </c>
      <c r="B18" s="3">
        <v>1</v>
      </c>
      <c r="C18" s="3" cm="1">
        <f t="array" aca="1" ref="C18" ca="1">_xll.YCP(A18,"roc_1")</f>
        <v>-1.662133575098217E-3</v>
      </c>
      <c r="D18" s="3">
        <f ca="1">B18*C18</f>
        <v>-1.662133575098217E-3</v>
      </c>
    </row>
    <row r="19" spans="1:4" ht="16.2" thickBot="1" x14ac:dyDescent="0.35">
      <c r="A19" s="2"/>
      <c r="B19" s="3"/>
      <c r="C19" s="4"/>
      <c r="D19" s="5">
        <f ca="1">SUM(D18:D18)</f>
        <v>-1.662133575098217E-3</v>
      </c>
    </row>
    <row r="21" spans="1:4" ht="15.6" x14ac:dyDescent="0.3">
      <c r="A21" s="45" t="s">
        <v>35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36</v>
      </c>
      <c r="B23" s="3">
        <v>1</v>
      </c>
      <c r="C23" s="3" cm="1">
        <f t="array" aca="1" ref="C23" ca="1">_xll.YCP(A23,"roc_1")</f>
        <v>-4.4996400287976961E-3</v>
      </c>
      <c r="D23" s="3">
        <f ca="1">B23*C23</f>
        <v>-4.4996400287976961E-3</v>
      </c>
    </row>
    <row r="24" spans="1:4" ht="16.2" thickBot="1" x14ac:dyDescent="0.35">
      <c r="A24" s="2"/>
      <c r="B24" s="3"/>
      <c r="C24" s="4"/>
      <c r="D24" s="5">
        <f ca="1">SUM(D23:D23)</f>
        <v>-4.4996400287976961E-3</v>
      </c>
    </row>
    <row r="26" spans="1:4" ht="15.6" x14ac:dyDescent="0.3">
      <c r="A26" s="45" t="s">
        <v>45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22</v>
      </c>
      <c r="B28" s="3">
        <v>1</v>
      </c>
      <c r="C28" s="3" cm="1">
        <f t="array" aca="1" ref="C28" ca="1">_xll.YCP(A28,"roc_1")</f>
        <v>-9.2378752886836026E-3</v>
      </c>
      <c r="D28" s="3">
        <f ca="1">B28*C28</f>
        <v>-9.2378752886836026E-3</v>
      </c>
    </row>
    <row r="29" spans="1:4" ht="16.2" thickBot="1" x14ac:dyDescent="0.35">
      <c r="A29" s="2"/>
      <c r="B29" s="3"/>
      <c r="C29" s="4"/>
      <c r="D29" s="5">
        <f ca="1">SUM(D28:D28)</f>
        <v>-9.2378752886836026E-3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89"/>
  <sheetViews>
    <sheetView workbookViewId="0">
      <selection activeCell="A79" sqref="A79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48</v>
      </c>
      <c r="B3" s="3">
        <v>0.02</v>
      </c>
      <c r="C3" s="3" cm="1">
        <f t="array" aca="1" ref="C3" ca="1">_xll.YCP("M:FZFXX","roc_1")</f>
        <v>-9.9999999999999995E-7</v>
      </c>
      <c r="D3" s="3">
        <f ca="1">B3*C3</f>
        <v>-2E-8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-1.0381820279155613E-3</v>
      </c>
      <c r="D4" s="3">
        <f t="shared" ref="D4:D7" ca="1" si="0">B4*C4</f>
        <v>-5.8864920982812323E-5</v>
      </c>
      <c r="E4" s="4"/>
    </row>
    <row r="5" spans="1:5" x14ac:dyDescent="0.3">
      <c r="A5" s="2" t="s">
        <v>56</v>
      </c>
      <c r="B5" s="3">
        <v>5.67E-2</v>
      </c>
      <c r="C5" s="3" cm="1">
        <f t="array" aca="1" ref="C5" ca="1">_xll.YCP(A5,"roc_1")</f>
        <v>-2.6735050196420775E-3</v>
      </c>
      <c r="D5" s="3">
        <f t="shared" ca="1" si="0"/>
        <v>-1.5158773461370579E-4</v>
      </c>
      <c r="E5" s="4"/>
    </row>
    <row r="6" spans="1:5" x14ac:dyDescent="0.3">
      <c r="A6" s="2" t="s">
        <v>10</v>
      </c>
      <c r="B6" s="3">
        <v>5.67E-2</v>
      </c>
      <c r="C6" s="3" cm="1">
        <f t="array" aca="1" ref="C6" ca="1">_xll.YCP(A6,"roc_1")</f>
        <v>6.3428778542950343E-4</v>
      </c>
      <c r="D6" s="3">
        <f t="shared" ca="1" si="0"/>
        <v>3.5964117433852847E-5</v>
      </c>
      <c r="E6" s="4"/>
    </row>
    <row r="7" spans="1:5" x14ac:dyDescent="0.3">
      <c r="A7" s="2" t="s">
        <v>11</v>
      </c>
      <c r="B7" s="3">
        <v>0.1575</v>
      </c>
      <c r="C7" s="3" cm="1">
        <f t="array" aca="1" ref="C7" ca="1">_xll.YCP(A7,"roc_1")</f>
        <v>1.2219070477852935E-2</v>
      </c>
      <c r="D7" s="3">
        <f t="shared" ca="1" si="0"/>
        <v>1.9245036002618371E-3</v>
      </c>
      <c r="E7" s="4"/>
    </row>
    <row r="8" spans="1:5" x14ac:dyDescent="0.3">
      <c r="A8" s="2" t="s">
        <v>53</v>
      </c>
      <c r="B8" s="3">
        <v>4.8099999999999997E-2</v>
      </c>
      <c r="C8" s="3" cm="1">
        <f t="array" aca="1" ref="C8" ca="1">_xll.YCP(A8,"roc_1")</f>
        <v>1.9409100711667026E-3</v>
      </c>
      <c r="D8" s="3">
        <f t="shared" ref="D8:D17" ca="1" si="1">B8*C8</f>
        <v>9.3357774423118386E-5</v>
      </c>
      <c r="E8" s="4"/>
    </row>
    <row r="9" spans="1:5" x14ac:dyDescent="0.3">
      <c r="A9" s="2" t="s">
        <v>12</v>
      </c>
      <c r="B9" s="3">
        <v>4.8099999999999997E-2</v>
      </c>
      <c r="C9" s="3" cm="1">
        <f t="array" aca="1" ref="C9" ca="1">_xll.YCP(A9,"roc_1")</f>
        <v>2.2272385252069225E-2</v>
      </c>
      <c r="D9" s="3">
        <f t="shared" ca="1" si="1"/>
        <v>1.0713017306245296E-3</v>
      </c>
      <c r="E9" s="4"/>
    </row>
    <row r="10" spans="1:5" x14ac:dyDescent="0.3">
      <c r="A10" s="2" t="s">
        <v>13</v>
      </c>
      <c r="B10" s="3">
        <v>4.8099999999999997E-2</v>
      </c>
      <c r="C10" s="3" cm="1">
        <f t="array" aca="1" ref="C10" ca="1">_xll.YCP(A10,"roc_1")</f>
        <v>-1.4817629179331307E-2</v>
      </c>
      <c r="D10" s="3">
        <f t="shared" ca="1" si="1"/>
        <v>-7.1272796352583585E-4</v>
      </c>
      <c r="E10" s="4"/>
    </row>
    <row r="11" spans="1:5" x14ac:dyDescent="0.3">
      <c r="A11" s="2" t="s">
        <v>14</v>
      </c>
      <c r="B11" s="3">
        <v>2.41E-2</v>
      </c>
      <c r="C11" s="3" cm="1">
        <f t="array" aca="1" ref="C11" ca="1">_xll.YCP(A11,"roc_1")</f>
        <v>2.7829810008027828E-2</v>
      </c>
      <c r="D11" s="3">
        <f t="shared" ca="1" si="1"/>
        <v>6.7069842119347068E-4</v>
      </c>
      <c r="E11" s="4"/>
    </row>
    <row r="12" spans="1:5" x14ac:dyDescent="0.3">
      <c r="A12" s="2" t="s">
        <v>54</v>
      </c>
      <c r="B12" s="3">
        <v>2.41E-2</v>
      </c>
      <c r="C12" s="3" cm="1">
        <f t="array" aca="1" ref="C12" ca="1">_xll.YCP(A12,"roc_1")</f>
        <v>2.5977577249111294E-3</v>
      </c>
      <c r="D12" s="3">
        <f t="shared" ref="D12" ca="1" si="2">B12*C12</f>
        <v>6.2605961170358217E-5</v>
      </c>
      <c r="E12" s="4"/>
    </row>
    <row r="13" spans="1:5" x14ac:dyDescent="0.3">
      <c r="A13" s="2" t="s">
        <v>57</v>
      </c>
      <c r="B13" s="3">
        <v>0.12</v>
      </c>
      <c r="C13" s="3" cm="1">
        <f t="array" aca="1" ref="C13" ca="1">_xll.YCP(A13,"roc_1")</f>
        <v>-3.2602252519264969E-3</v>
      </c>
      <c r="D13" s="3">
        <f t="shared" ca="1" si="1"/>
        <v>-3.9122703023117961E-4</v>
      </c>
      <c r="E13" s="4"/>
    </row>
    <row r="14" spans="1:5" x14ac:dyDescent="0.3">
      <c r="A14" s="2" t="s">
        <v>58</v>
      </c>
      <c r="B14" s="3">
        <v>9.3299999999999994E-2</v>
      </c>
      <c r="C14" s="3" cm="1">
        <f t="array" aca="1" ref="C14" ca="1">_xll.YCP(A14,"roc_1")</f>
        <v>-2.5355473799343739E-3</v>
      </c>
      <c r="D14" s="3">
        <f t="shared" ca="1" si="1"/>
        <v>-2.3656657054787708E-4</v>
      </c>
      <c r="E14" s="4"/>
    </row>
    <row r="15" spans="1:5" x14ac:dyDescent="0.3">
      <c r="A15" s="2" t="s">
        <v>55</v>
      </c>
      <c r="B15" s="3">
        <v>9.3299999999999994E-2</v>
      </c>
      <c r="C15" s="3" cm="1">
        <f t="array" aca="1" ref="C15" ca="1">_xll.YCP(A15,"roc_1")</f>
        <v>-2.8082253827339432E-3</v>
      </c>
      <c r="D15" s="3">
        <f t="shared" ca="1" si="1"/>
        <v>-2.6200742820907689E-4</v>
      </c>
      <c r="E15" s="4"/>
    </row>
    <row r="16" spans="1:5" x14ac:dyDescent="0.3">
      <c r="A16" s="2" t="s">
        <v>59</v>
      </c>
      <c r="B16" s="3">
        <v>9.3299999999999994E-2</v>
      </c>
      <c r="C16" s="3" cm="1">
        <f t="array" aca="1" ref="C16" ca="1">_xll.YCP(A16,"roc_1")</f>
        <v>2.9928172386272945E-4</v>
      </c>
      <c r="D16" s="3">
        <f t="shared" ca="1" si="1"/>
        <v>2.7922984836392655E-5</v>
      </c>
      <c r="E16" s="4"/>
    </row>
    <row r="17" spans="1:5" ht="16.2" thickBot="1" x14ac:dyDescent="0.35">
      <c r="A17" s="2" t="s">
        <v>18</v>
      </c>
      <c r="B17" s="3">
        <v>0.06</v>
      </c>
      <c r="C17" s="3" cm="1">
        <f t="array" aca="1" ref="C17" ca="1">_xll.YCP(A17,"roc_1")</f>
        <v>1.7509178198249081E-2</v>
      </c>
      <c r="D17" s="3">
        <f t="shared" ca="1" si="1"/>
        <v>1.0505506918949449E-3</v>
      </c>
      <c r="E17" s="4"/>
    </row>
    <row r="18" spans="1:5" ht="16.2" thickBot="1" x14ac:dyDescent="0.35">
      <c r="A18" s="2"/>
      <c r="B18" s="3">
        <f>SUM(B3:B17)</f>
        <v>0.99999999999999978</v>
      </c>
      <c r="C18" s="4"/>
      <c r="D18" s="5">
        <f ca="1">SUM(D3:D17)</f>
        <v>3.1239036337280166E-3</v>
      </c>
      <c r="E18" s="5">
        <f ca="1">D18-Benchmarks!$D$4</f>
        <v>-8.3733527028280325E-3</v>
      </c>
    </row>
    <row r="20" spans="1:5" x14ac:dyDescent="0.3">
      <c r="A20" s="45" t="s">
        <v>19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48</v>
      </c>
      <c r="B22" s="3">
        <v>0.01</v>
      </c>
      <c r="C22" s="3" cm="1">
        <f t="array" aca="1" ref="C22" ca="1">_xll.YCP("M:FZFXX","roc_1")</f>
        <v>-9.9999999999999995E-7</v>
      </c>
      <c r="D22" s="3">
        <f ca="1">B22*C22</f>
        <v>-1E-8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-1.0381820279155613E-3</v>
      </c>
      <c r="D23" s="3">
        <f t="shared" ref="D23:D38" ca="1" si="3">B23*C23</f>
        <v>-3.8101280424501105E-5</v>
      </c>
      <c r="E23" s="4"/>
    </row>
    <row r="24" spans="1:5" x14ac:dyDescent="0.3">
      <c r="A24" s="2" t="s">
        <v>56</v>
      </c>
      <c r="B24" s="3">
        <v>5.6500000000000002E-2</v>
      </c>
      <c r="C24" s="3" cm="1">
        <f t="array" aca="1" ref="C24" ca="1">_xll.YCP(A24,"roc_1")</f>
        <v>-2.6735050196420775E-3</v>
      </c>
      <c r="D24" s="3">
        <f t="shared" ca="1" si="3"/>
        <v>-1.5105303360977737E-4</v>
      </c>
      <c r="E24" s="4"/>
    </row>
    <row r="25" spans="1:5" x14ac:dyDescent="0.3">
      <c r="A25" s="2" t="s">
        <v>10</v>
      </c>
      <c r="B25" s="3">
        <v>3.6700000000000003E-2</v>
      </c>
      <c r="C25" s="3" cm="1">
        <f t="array" aca="1" ref="C25" ca="1">_xll.YCP(A25,"roc_1")</f>
        <v>6.3428778542950343E-4</v>
      </c>
      <c r="D25" s="3">
        <f t="shared" ca="1" si="3"/>
        <v>2.3278361725262776E-5</v>
      </c>
      <c r="E25" s="4"/>
    </row>
    <row r="26" spans="1:5" x14ac:dyDescent="0.3">
      <c r="A26" s="2" t="s">
        <v>53</v>
      </c>
      <c r="B26" s="3">
        <v>2.5000000000000001E-2</v>
      </c>
      <c r="C26" s="3" cm="1">
        <f t="array" aca="1" ref="C26" ca="1">_xll.YCP(A26,"roc_1")</f>
        <v>1.9409100711667026E-3</v>
      </c>
      <c r="D26" s="3">
        <f t="shared" ca="1" si="3"/>
        <v>4.8522751779167571E-5</v>
      </c>
      <c r="E26" s="4"/>
    </row>
    <row r="27" spans="1:5" x14ac:dyDescent="0.3">
      <c r="A27" s="2" t="s">
        <v>12</v>
      </c>
      <c r="B27" s="3">
        <v>2.5000000000000001E-2</v>
      </c>
      <c r="C27" s="3" cm="1">
        <f t="array" aca="1" ref="C27" ca="1">_xll.YCP(A27,"roc_1")</f>
        <v>2.2272385252069225E-2</v>
      </c>
      <c r="D27" s="3">
        <f t="shared" ca="1" si="3"/>
        <v>5.5680963130173063E-4</v>
      </c>
      <c r="E27" s="4"/>
    </row>
    <row r="28" spans="1:5" x14ac:dyDescent="0.3">
      <c r="A28" s="2" t="s">
        <v>13</v>
      </c>
      <c r="B28" s="3">
        <v>2.5000000000000001E-2</v>
      </c>
      <c r="C28" s="3" cm="1">
        <f t="array" aca="1" ref="C28" ca="1">_xll.YCP(A28,"roc_1")</f>
        <v>-1.4817629179331307E-2</v>
      </c>
      <c r="D28" s="3">
        <f t="shared" ca="1" si="3"/>
        <v>-3.7044072948328268E-4</v>
      </c>
      <c r="E28" s="4"/>
    </row>
    <row r="29" spans="1:5" x14ac:dyDescent="0.3">
      <c r="A29" s="2" t="s">
        <v>14</v>
      </c>
      <c r="B29" s="3">
        <v>1.2500000000000001E-2</v>
      </c>
      <c r="C29" s="3" cm="1">
        <f t="array" aca="1" ref="C29" ca="1">_xll.YCP(A29,"roc_1")</f>
        <v>2.7829810008027828E-2</v>
      </c>
      <c r="D29" s="3">
        <f t="shared" ca="1" si="3"/>
        <v>3.4787262510034789E-4</v>
      </c>
      <c r="E29" s="4"/>
    </row>
    <row r="30" spans="1:5" x14ac:dyDescent="0.3">
      <c r="A30" s="2" t="s">
        <v>54</v>
      </c>
      <c r="B30" s="3">
        <v>1.2500000000000001E-2</v>
      </c>
      <c r="C30" s="3" cm="1">
        <f t="array" aca="1" ref="C30" ca="1">_xll.YCP(A30,"roc_1")</f>
        <v>2.5977577249111294E-3</v>
      </c>
      <c r="D30" s="3">
        <f t="shared" ca="1" si="3"/>
        <v>3.2471971561389122E-5</v>
      </c>
      <c r="E30" s="4"/>
    </row>
    <row r="31" spans="1:5" x14ac:dyDescent="0.3">
      <c r="A31" s="2" t="s">
        <v>57</v>
      </c>
      <c r="B31" s="3">
        <v>0.19500000000000001</v>
      </c>
      <c r="C31" s="3" cm="1">
        <f t="array" aca="1" ref="C31" ca="1">_xll.YCP(A31,"roc_1")</f>
        <v>-3.2602252519264969E-3</v>
      </c>
      <c r="D31" s="3">
        <f t="shared" ca="1" si="3"/>
        <v>-6.3574392412566686E-4</v>
      </c>
      <c r="E31" s="4"/>
    </row>
    <row r="32" spans="1:5" x14ac:dyDescent="0.3">
      <c r="A32" s="2" t="s">
        <v>58</v>
      </c>
      <c r="B32" s="3">
        <v>0.1517</v>
      </c>
      <c r="C32" s="3" cm="1">
        <f t="array" aca="1" ref="C32" ca="1">_xll.YCP(A32,"roc_1")</f>
        <v>-2.5355473799343739E-3</v>
      </c>
      <c r="D32" s="3">
        <f t="shared" ca="1" si="3"/>
        <v>-3.8464253753604452E-4</v>
      </c>
      <c r="E32" s="4"/>
    </row>
    <row r="33" spans="1:5" x14ac:dyDescent="0.3">
      <c r="A33" s="2" t="s">
        <v>55</v>
      </c>
      <c r="B33" s="3">
        <v>0.1517</v>
      </c>
      <c r="C33" s="3" cm="1">
        <f t="array" aca="1" ref="C33" ca="1">_xll.YCP(A33,"roc_1")</f>
        <v>-2.8082253827339432E-3</v>
      </c>
      <c r="D33" s="3">
        <f t="shared" ca="1" si="3"/>
        <v>-4.2600779056073916E-4</v>
      </c>
      <c r="E33" s="4"/>
    </row>
    <row r="34" spans="1:5" x14ac:dyDescent="0.3">
      <c r="A34" s="2" t="s">
        <v>59</v>
      </c>
      <c r="B34" s="3">
        <v>0.1517</v>
      </c>
      <c r="C34" s="3" cm="1">
        <f t="array" aca="1" ref="C34" ca="1">_xll.YCP(A34,"roc_1")</f>
        <v>2.9928172386272945E-4</v>
      </c>
      <c r="D34" s="3">
        <f t="shared" ca="1" si="3"/>
        <v>4.5401037509976056E-5</v>
      </c>
      <c r="E34" s="4"/>
    </row>
    <row r="35" spans="1:5" x14ac:dyDescent="0.3">
      <c r="A35" s="2" t="s">
        <v>18</v>
      </c>
      <c r="B35" s="3">
        <v>0.05</v>
      </c>
      <c r="C35" s="3" cm="1">
        <f t="array" aca="1" ref="C35" ca="1">_xll.YCP(A35,"roc_1")</f>
        <v>1.7509178198249081E-2</v>
      </c>
      <c r="D35" s="3">
        <f t="shared" ref="D35:D37" ca="1" si="4">B35*C35</f>
        <v>8.7545890991245405E-4</v>
      </c>
      <c r="E35" s="4"/>
    </row>
    <row r="36" spans="1:5" x14ac:dyDescent="0.3">
      <c r="A36" s="2" t="s">
        <v>20</v>
      </c>
      <c r="B36" s="3">
        <v>0.02</v>
      </c>
      <c r="C36" s="3" cm="1">
        <f t="array" aca="1" ref="C36" ca="1">_xll.YCP(A36,"roc_1")</f>
        <v>1.1607495203233224E-2</v>
      </c>
      <c r="D36" s="3">
        <f t="shared" ca="1" si="4"/>
        <v>2.3214990406466448E-4</v>
      </c>
      <c r="E36" s="4"/>
    </row>
    <row r="37" spans="1:5" x14ac:dyDescent="0.3">
      <c r="A37" s="2" t="s">
        <v>21</v>
      </c>
      <c r="B37" s="3">
        <v>0.02</v>
      </c>
      <c r="C37" s="3" cm="1">
        <f t="array" aca="1" ref="C37" ca="1">_xll.YCP(A37,"roc_1")</f>
        <v>1.7937219730941704E-2</v>
      </c>
      <c r="D37" s="3">
        <f t="shared" ca="1" si="4"/>
        <v>3.5874439461883406E-4</v>
      </c>
      <c r="E37" s="4"/>
    </row>
    <row r="38" spans="1:5" ht="16.2" thickBot="1" x14ac:dyDescent="0.35">
      <c r="A38" s="2" t="s">
        <v>22</v>
      </c>
      <c r="B38" s="3">
        <v>0.02</v>
      </c>
      <c r="C38" s="3" cm="1">
        <f t="array" aca="1" ref="C38" ca="1">_xll.YCP(A38,"roc_1")</f>
        <v>-9.2378752886836026E-3</v>
      </c>
      <c r="D38" s="3">
        <f t="shared" ca="1" si="3"/>
        <v>-1.8475750577367207E-4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3.2995278606014276E-4</v>
      </c>
      <c r="E39" s="5">
        <f ca="1">D39-Benchmarks!$D$4</f>
        <v>-1.1167303550495907E-2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37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48</v>
      </c>
      <c r="B43" s="3">
        <v>0.02</v>
      </c>
      <c r="C43" s="3" cm="1">
        <f t="array" aca="1" ref="C43" ca="1">_xll.YCP("M:FZFXX","roc_1")</f>
        <v>-9.9999999999999995E-7</v>
      </c>
      <c r="D43" s="3">
        <f ca="1">B43*C43</f>
        <v>-2E-8</v>
      </c>
      <c r="E43" s="4"/>
    </row>
    <row r="44" spans="1:5" x14ac:dyDescent="0.3">
      <c r="A44" s="2" t="s">
        <v>38</v>
      </c>
      <c r="B44" s="3">
        <v>0.13</v>
      </c>
      <c r="C44" s="3" cm="1">
        <f t="array" aca="1" ref="C44" ca="1">_xll.YCP(A44,"roc_1")</f>
        <v>-7.3093129245850889E-4</v>
      </c>
      <c r="D44" s="3">
        <f t="shared" ref="D44:D52" ca="1" si="5">B44*C44</f>
        <v>-9.5021068019606153E-5</v>
      </c>
      <c r="E44" s="4"/>
    </row>
    <row r="45" spans="1:5" x14ac:dyDescent="0.3">
      <c r="A45" s="2" t="s">
        <v>39</v>
      </c>
      <c r="B45" s="3">
        <v>0.06</v>
      </c>
      <c r="C45" s="3" cm="1">
        <f t="array" aca="1" ref="C45" ca="1">_xll.YCP(A45,"roc_1")</f>
        <v>-1.7878426698450535E-3</v>
      </c>
      <c r="D45" s="3">
        <f t="shared" ca="1" si="5"/>
        <v>-1.0727056019070321E-4</v>
      </c>
      <c r="E45" s="4"/>
    </row>
    <row r="46" spans="1:5" x14ac:dyDescent="0.3">
      <c r="A46" s="2" t="s">
        <v>40</v>
      </c>
      <c r="B46" s="3">
        <v>0.09</v>
      </c>
      <c r="C46" s="3" cm="1">
        <f t="array" aca="1" ref="C46" ca="1">_xll.YCP(A46,"roc_1")</f>
        <v>-2.6708447290902178E-3</v>
      </c>
      <c r="D46" s="3">
        <f t="shared" ca="1" si="5"/>
        <v>-2.403760256181196E-4</v>
      </c>
      <c r="E46" s="4"/>
    </row>
    <row r="47" spans="1:5" x14ac:dyDescent="0.3">
      <c r="A47" s="2" t="s">
        <v>11</v>
      </c>
      <c r="B47" s="3">
        <v>0.21</v>
      </c>
      <c r="C47" s="3" cm="1">
        <f t="array" aca="1" ref="C47" ca="1">_xll.YCP(A47,"roc_1")</f>
        <v>1.2219070477852935E-2</v>
      </c>
      <c r="D47" s="3">
        <f t="shared" ca="1" si="5"/>
        <v>2.5660048003491162E-3</v>
      </c>
      <c r="E47" s="4"/>
    </row>
    <row r="48" spans="1:5" x14ac:dyDescent="0.3">
      <c r="A48" s="2" t="s">
        <v>41</v>
      </c>
      <c r="B48" s="3">
        <v>0.09</v>
      </c>
      <c r="C48" s="3" cm="1">
        <f t="array" aca="1" ref="C48" ca="1">_xll.YCP(A48,"roc_1")</f>
        <v>1.3473053892215569E-2</v>
      </c>
      <c r="D48" s="3">
        <f t="shared" ca="1" si="5"/>
        <v>1.2125748502994011E-3</v>
      </c>
      <c r="E48" s="4"/>
    </row>
    <row r="49" spans="1:5" x14ac:dyDescent="0.3">
      <c r="A49" s="2" t="s">
        <v>42</v>
      </c>
      <c r="B49" s="3">
        <v>0.08</v>
      </c>
      <c r="C49" s="3" cm="1">
        <f t="array" aca="1" ref="C49" ca="1">_xll.YCP(A49,"roc_1")</f>
        <v>3.4311856652687761E-3</v>
      </c>
      <c r="D49" s="3">
        <f t="shared" ca="1" si="5"/>
        <v>2.744948532215021E-4</v>
      </c>
      <c r="E49" s="4"/>
    </row>
    <row r="50" spans="1:5" x14ac:dyDescent="0.3">
      <c r="A50" s="2" t="s">
        <v>43</v>
      </c>
      <c r="B50" s="3">
        <v>0.12</v>
      </c>
      <c r="C50" s="3" cm="1">
        <f t="array" aca="1" ref="C50" ca="1">_xll.YCP(A50,"roc_1")</f>
        <v>9.0460526315789477E-3</v>
      </c>
      <c r="D50" s="3">
        <f t="shared" ca="1" si="5"/>
        <v>1.0855263157894736E-3</v>
      </c>
      <c r="E50" s="4"/>
    </row>
    <row r="51" spans="1:5" x14ac:dyDescent="0.3">
      <c r="A51" s="2" t="s">
        <v>60</v>
      </c>
      <c r="B51" s="3">
        <v>0.1333</v>
      </c>
      <c r="C51" s="3" cm="1">
        <f t="array" aca="1" ref="C51" ca="1">_xll.YCP(A51,"roc_1")</f>
        <v>-1.6673205178501373E-3</v>
      </c>
      <c r="D51" s="3">
        <f t="shared" ca="1" si="5"/>
        <v>-2.2225382502942331E-4</v>
      </c>
      <c r="E51" s="4"/>
    </row>
    <row r="52" spans="1:5" ht="16.2" thickBot="1" x14ac:dyDescent="0.35">
      <c r="A52" s="2" t="s">
        <v>59</v>
      </c>
      <c r="B52" s="3">
        <v>6.6699999999999995E-2</v>
      </c>
      <c r="C52" s="3" cm="1">
        <f t="array" aca="1" ref="C52" ca="1">_xll.YCP(A52,"roc_1")</f>
        <v>2.9928172386272945E-4</v>
      </c>
      <c r="D52" s="3">
        <f t="shared" ca="1" si="5"/>
        <v>1.9962090981644053E-5</v>
      </c>
      <c r="E52" s="4"/>
    </row>
    <row r="53" spans="1:5" ht="16.2" thickBot="1" x14ac:dyDescent="0.35">
      <c r="A53" s="2"/>
      <c r="B53" s="3">
        <f>SUM(B43:B52)</f>
        <v>0.99999999999999989</v>
      </c>
      <c r="C53" s="4"/>
      <c r="D53" s="5">
        <f ca="1">SUM(D43:D52)</f>
        <v>4.4936214317832842E-3</v>
      </c>
      <c r="E53" s="5">
        <f ca="1">D53-Benchmarks!$D$4</f>
        <v>-7.0036349047727653E-3</v>
      </c>
    </row>
    <row r="54" spans="1:5" x14ac:dyDescent="0.3">
      <c r="A54" s="2"/>
      <c r="B54" s="3"/>
      <c r="C54" s="4"/>
      <c r="D54" s="27"/>
      <c r="E54" s="27"/>
    </row>
    <row r="55" spans="1:5" x14ac:dyDescent="0.3">
      <c r="A55" s="45" t="s">
        <v>46</v>
      </c>
      <c r="B55" s="45"/>
      <c r="C55" s="45"/>
      <c r="D55" s="45"/>
      <c r="E55" s="4"/>
    </row>
    <row r="56" spans="1:5" x14ac:dyDescent="0.3">
      <c r="A56" s="1" t="s">
        <v>1</v>
      </c>
      <c r="B56" s="1" t="s">
        <v>2</v>
      </c>
      <c r="C56" s="1" t="s">
        <v>3</v>
      </c>
      <c r="D56" s="1" t="s">
        <v>4</v>
      </c>
      <c r="E56" s="1" t="str">
        <f>"+/- Benchmark"</f>
        <v>+/- Benchmark</v>
      </c>
    </row>
    <row r="57" spans="1:5" x14ac:dyDescent="0.3">
      <c r="A57" s="2" t="s">
        <v>48</v>
      </c>
      <c r="B57" s="3">
        <v>0.01</v>
      </c>
      <c r="C57" s="3" cm="1">
        <f t="array" aca="1" ref="C57" ca="1">_xll.YCP("M:FZFXX","roc_1")</f>
        <v>-9.9999999999999995E-7</v>
      </c>
      <c r="D57" s="3">
        <f ca="1">B57*C57</f>
        <v>-1E-8</v>
      </c>
      <c r="E57" s="4"/>
    </row>
    <row r="58" spans="1:5" x14ac:dyDescent="0.3">
      <c r="A58" s="2" t="s">
        <v>11</v>
      </c>
      <c r="B58" s="3">
        <v>0.22950000000000001</v>
      </c>
      <c r="C58" s="3" cm="1">
        <f t="array" aca="1" ref="C58" ca="1">_xll.YCP(A58,"roc_1")</f>
        <v>1.2219070477852935E-2</v>
      </c>
      <c r="D58" s="3">
        <f t="shared" ref="D58:D68" ca="1" si="6">B58*C58</f>
        <v>2.8042766746672488E-3</v>
      </c>
      <c r="E58" s="4"/>
    </row>
    <row r="59" spans="1:5" x14ac:dyDescent="0.3">
      <c r="A59" s="2" t="s">
        <v>53</v>
      </c>
      <c r="B59" s="3">
        <v>7.0099999999999996E-2</v>
      </c>
      <c r="C59" s="3" cm="1">
        <f t="array" aca="1" ref="C59" ca="1">_xll.YCP(A59,"roc_1")</f>
        <v>1.9409100711667026E-3</v>
      </c>
      <c r="D59" s="3">
        <f t="shared" ca="1" si="6"/>
        <v>1.3605779598878585E-4</v>
      </c>
      <c r="E59" s="4"/>
    </row>
    <row r="60" spans="1:5" x14ac:dyDescent="0.3">
      <c r="A60" s="2" t="s">
        <v>12</v>
      </c>
      <c r="B60" s="3">
        <v>7.0099999999999996E-2</v>
      </c>
      <c r="C60" s="3" cm="1">
        <f t="array" aca="1" ref="C60" ca="1">_xll.YCP(A60,"roc_1")</f>
        <v>2.2272385252069225E-2</v>
      </c>
      <c r="D60" s="3">
        <f t="shared" ca="1" si="6"/>
        <v>1.5612942061700526E-3</v>
      </c>
      <c r="E60" s="4"/>
    </row>
    <row r="61" spans="1:5" x14ac:dyDescent="0.3">
      <c r="A61" s="2" t="s">
        <v>13</v>
      </c>
      <c r="B61" s="3">
        <v>7.0099999999999996E-2</v>
      </c>
      <c r="C61" s="3" cm="1">
        <f t="array" aca="1" ref="C61" ca="1">_xll.YCP(A61,"roc_1")</f>
        <v>-1.4817629179331307E-2</v>
      </c>
      <c r="D61" s="3">
        <f t="shared" ca="1" si="6"/>
        <v>-1.0387158054711246E-3</v>
      </c>
      <c r="E61" s="4"/>
    </row>
    <row r="62" spans="1:5" x14ac:dyDescent="0.3">
      <c r="A62" s="2" t="s">
        <v>14</v>
      </c>
      <c r="B62" s="3">
        <v>3.5099999999999999E-2</v>
      </c>
      <c r="C62" s="3" cm="1">
        <f t="array" aca="1" ref="C62" ca="1">_xll.YCP(A62,"roc_1")</f>
        <v>2.7829810008027828E-2</v>
      </c>
      <c r="D62" s="3">
        <f t="shared" ca="1" si="6"/>
        <v>9.7682633128177683E-4</v>
      </c>
      <c r="E62" s="4"/>
    </row>
    <row r="63" spans="1:5" x14ac:dyDescent="0.3">
      <c r="A63" s="2" t="s">
        <v>54</v>
      </c>
      <c r="B63" s="3">
        <v>3.5099999999999999E-2</v>
      </c>
      <c r="C63" s="3" cm="1">
        <f t="array" aca="1" ref="C63" ca="1">_xll.YCP(A63,"roc_1")</f>
        <v>2.5977577249111294E-3</v>
      </c>
      <c r="D63" s="3">
        <f t="shared" ca="1" si="6"/>
        <v>9.1181296144380645E-5</v>
      </c>
      <c r="E63" s="4"/>
    </row>
    <row r="64" spans="1:5" x14ac:dyDescent="0.3">
      <c r="A64" s="2" t="s">
        <v>57</v>
      </c>
      <c r="B64" s="3">
        <v>0.126</v>
      </c>
      <c r="C64" s="3" cm="1">
        <f t="array" aca="1" ref="C64" ca="1">_xll.YCP(A64,"roc_1")</f>
        <v>-3.2602252519264969E-3</v>
      </c>
      <c r="D64" s="3">
        <f t="shared" ca="1" si="6"/>
        <v>-4.1078838174273859E-4</v>
      </c>
      <c r="E64" s="4"/>
    </row>
    <row r="65" spans="1:5" x14ac:dyDescent="0.3">
      <c r="A65" s="2" t="s">
        <v>58</v>
      </c>
      <c r="B65" s="3">
        <v>9.8000000000000004E-2</v>
      </c>
      <c r="C65" s="3" cm="1">
        <f t="array" aca="1" ref="C65" ca="1">_xll.YCP(A65,"roc_1")</f>
        <v>-2.5355473799343739E-3</v>
      </c>
      <c r="D65" s="3">
        <f t="shared" ca="1" si="6"/>
        <v>-2.4848364323356865E-4</v>
      </c>
      <c r="E65" s="4"/>
    </row>
    <row r="66" spans="1:5" x14ac:dyDescent="0.3">
      <c r="A66" s="2" t="s">
        <v>55</v>
      </c>
      <c r="B66" s="3">
        <v>9.8000000000000004E-2</v>
      </c>
      <c r="C66" s="3" cm="1">
        <f t="array" aca="1" ref="C66" ca="1">_xll.YCP(A66,"roc_1")</f>
        <v>-2.8082253827339432E-3</v>
      </c>
      <c r="D66" s="3">
        <f t="shared" ca="1" si="6"/>
        <v>-2.7520608750792642E-4</v>
      </c>
      <c r="E66" s="4"/>
    </row>
    <row r="67" spans="1:5" x14ac:dyDescent="0.3">
      <c r="A67" s="2" t="s">
        <v>59</v>
      </c>
      <c r="B67" s="3">
        <v>9.8000000000000004E-2</v>
      </c>
      <c r="C67" s="3" cm="1">
        <f t="array" aca="1" ref="C67" ca="1">_xll.YCP(A67,"roc_1")</f>
        <v>2.9928172386272945E-4</v>
      </c>
      <c r="D67" s="3">
        <f t="shared" ca="1" si="6"/>
        <v>2.9329608938547488E-5</v>
      </c>
      <c r="E67" s="4"/>
    </row>
    <row r="68" spans="1:5" ht="16.2" thickBot="1" x14ac:dyDescent="0.35">
      <c r="A68" s="2" t="s">
        <v>18</v>
      </c>
      <c r="B68" s="3">
        <v>0.06</v>
      </c>
      <c r="C68" s="3" cm="1">
        <f t="array" aca="1" ref="C68" ca="1">_xll.YCP(A68,"roc_1")</f>
        <v>1.7509178198249081E-2</v>
      </c>
      <c r="D68" s="3">
        <f t="shared" ca="1" si="6"/>
        <v>1.0505506918949449E-3</v>
      </c>
      <c r="E68" s="4"/>
    </row>
    <row r="69" spans="1:5" ht="16.2" thickBot="1" x14ac:dyDescent="0.35">
      <c r="A69" s="2"/>
      <c r="B69" s="3">
        <f>SUM(B57:B68)</f>
        <v>1</v>
      </c>
      <c r="C69" s="4"/>
      <c r="D69" s="5">
        <f ca="1">SUM(D57:D68)</f>
        <v>4.6763126871303788E-3</v>
      </c>
      <c r="E69" s="5">
        <f ca="1">D69-Benchmarks!$D$4</f>
        <v>-6.8209436494256707E-3</v>
      </c>
    </row>
    <row r="71" spans="1:5" x14ac:dyDescent="0.3">
      <c r="A71" s="45" t="s">
        <v>23</v>
      </c>
      <c r="B71" s="45"/>
      <c r="C71" s="45"/>
      <c r="D71" s="45"/>
      <c r="E71" s="4"/>
    </row>
    <row r="72" spans="1:5" x14ac:dyDescent="0.3">
      <c r="A72" s="1" t="s">
        <v>1</v>
      </c>
      <c r="B72" s="1" t="s">
        <v>2</v>
      </c>
      <c r="C72" s="1" t="s">
        <v>3</v>
      </c>
      <c r="D72" s="1" t="s">
        <v>4</v>
      </c>
      <c r="E72" s="1" t="str">
        <f>"+/- Benchmark"</f>
        <v>+/- Benchmark</v>
      </c>
    </row>
    <row r="73" spans="1:5" x14ac:dyDescent="0.3">
      <c r="A73" s="2" t="s">
        <v>48</v>
      </c>
      <c r="B73" s="3">
        <v>0.01</v>
      </c>
      <c r="C73" s="3" cm="1">
        <f t="array" aca="1" ref="C73" ca="1">_xll.YCP("M:FZFXX","roc_1")</f>
        <v>-9.9999999999999995E-7</v>
      </c>
      <c r="D73" s="3">
        <f ca="1">B73*C73</f>
        <v>-1E-8</v>
      </c>
      <c r="E73" s="4"/>
    </row>
    <row r="74" spans="1:5" x14ac:dyDescent="0.3">
      <c r="A74" s="2" t="s">
        <v>57</v>
      </c>
      <c r="B74" s="3">
        <v>0.25</v>
      </c>
      <c r="C74" s="3" cm="1">
        <f t="array" aca="1" ref="C74" ca="1">_xll.YCP(A74,"roc_1")</f>
        <v>-3.2602252519264969E-3</v>
      </c>
      <c r="D74" s="3">
        <f t="shared" ref="D74:D78" ca="1" si="7">B74*C74</f>
        <v>-8.1505631298162422E-4</v>
      </c>
      <c r="E74" s="4"/>
    </row>
    <row r="75" spans="1:5" x14ac:dyDescent="0.3">
      <c r="A75" s="2" t="s">
        <v>58</v>
      </c>
      <c r="B75" s="3">
        <v>0.19670000000000001</v>
      </c>
      <c r="C75" s="3" cm="1">
        <f t="array" aca="1" ref="C75" ca="1">_xll.YCP(A75,"roc_1")</f>
        <v>-2.5355473799343739E-3</v>
      </c>
      <c r="D75" s="3">
        <f t="shared" ca="1" si="7"/>
        <v>-4.9874216963309136E-4</v>
      </c>
      <c r="E75" s="4"/>
    </row>
    <row r="76" spans="1:5" x14ac:dyDescent="0.3">
      <c r="A76" s="2" t="s">
        <v>55</v>
      </c>
      <c r="B76" s="3">
        <v>0.19670000000000001</v>
      </c>
      <c r="C76" s="3" cm="1">
        <f t="array" aca="1" ref="C76" ca="1">_xll.YCP(A76,"roc_1")</f>
        <v>-2.8082253827339432E-3</v>
      </c>
      <c r="D76" s="3">
        <f t="shared" ca="1" si="7"/>
        <v>-5.5237793278376662E-4</v>
      </c>
      <c r="E76" s="4"/>
    </row>
    <row r="77" spans="1:5" x14ac:dyDescent="0.3">
      <c r="A77" s="2" t="s">
        <v>59</v>
      </c>
      <c r="B77" s="3">
        <v>0.1966</v>
      </c>
      <c r="C77" s="3" cm="1">
        <f t="array" aca="1" ref="C77" ca="1">_xll.YCP(A77,"roc_1")</f>
        <v>2.9928172386272945E-4</v>
      </c>
      <c r="D77" s="3">
        <f t="shared" ca="1" si="7"/>
        <v>5.8838786911412606E-5</v>
      </c>
      <c r="E77" s="4"/>
    </row>
    <row r="78" spans="1:5" ht="16.2" thickBot="1" x14ac:dyDescent="0.35">
      <c r="A78" s="2" t="s">
        <v>56</v>
      </c>
      <c r="B78" s="3">
        <v>0.15</v>
      </c>
      <c r="C78" s="3" cm="1">
        <f t="array" aca="1" ref="C78" ca="1">_xll.YCP(A78,"roc_1")</f>
        <v>-2.6735050196420775E-3</v>
      </c>
      <c r="D78" s="3">
        <f t="shared" ca="1" si="7"/>
        <v>-4.0102575294631164E-4</v>
      </c>
      <c r="E78" s="4"/>
    </row>
    <row r="79" spans="1:5" ht="16.2" thickBot="1" x14ac:dyDescent="0.35">
      <c r="A79" s="2"/>
      <c r="B79" s="3">
        <f>SUM(B73:B78)</f>
        <v>1</v>
      </c>
      <c r="C79" s="4"/>
      <c r="D79" s="5">
        <f ca="1">SUM(D73:D78)</f>
        <v>-2.2083733814333814E-3</v>
      </c>
      <c r="E79" s="5">
        <f ca="1">D79-Benchmarks!$D$4</f>
        <v>-1.370562971798943E-2</v>
      </c>
    </row>
    <row r="81" spans="1:5" x14ac:dyDescent="0.3">
      <c r="A81" s="45" t="s">
        <v>24</v>
      </c>
      <c r="B81" s="45"/>
      <c r="C81" s="45"/>
      <c r="D81" s="45"/>
      <c r="E81" s="4"/>
    </row>
    <row r="82" spans="1:5" x14ac:dyDescent="0.3">
      <c r="A82" s="1" t="s">
        <v>1</v>
      </c>
      <c r="B82" s="1" t="s">
        <v>2</v>
      </c>
      <c r="C82" s="1" t="s">
        <v>3</v>
      </c>
      <c r="D82" s="1" t="s">
        <v>4</v>
      </c>
      <c r="E82" s="1" t="str">
        <f>"+/- Benchmark"</f>
        <v>+/- Benchmark</v>
      </c>
    </row>
    <row r="83" spans="1:5" x14ac:dyDescent="0.3">
      <c r="A83" s="2" t="s">
        <v>48</v>
      </c>
      <c r="B83" s="3">
        <v>0.01</v>
      </c>
      <c r="C83" s="3" cm="1">
        <f t="array" aca="1" ref="C83" ca="1">_xll.YCP("M:FZFXX","roc_1")</f>
        <v>-9.9999999999999995E-7</v>
      </c>
      <c r="D83" s="3">
        <f ca="1">B83*C83</f>
        <v>-1E-8</v>
      </c>
      <c r="E83" s="4"/>
    </row>
    <row r="84" spans="1:5" x14ac:dyDescent="0.3">
      <c r="A84" s="2" t="s">
        <v>53</v>
      </c>
      <c r="B84" s="3">
        <v>0.2475</v>
      </c>
      <c r="C84" s="3" cm="1">
        <f t="array" aca="1" ref="C84" ca="1">_xll.YCP(A84,"roc_1")</f>
        <v>1.9409100711667026E-3</v>
      </c>
      <c r="D84" s="3">
        <f t="shared" ref="D84:D88" ca="1" si="8">B84*C84</f>
        <v>4.803752426137589E-4</v>
      </c>
      <c r="E84" s="4"/>
    </row>
    <row r="85" spans="1:5" x14ac:dyDescent="0.3">
      <c r="A85" s="2" t="s">
        <v>13</v>
      </c>
      <c r="B85" s="3">
        <v>0.2475</v>
      </c>
      <c r="C85" s="3" cm="1">
        <f t="array" aca="1" ref="C85" ca="1">_xll.YCP(A85,"roc_1")</f>
        <v>-1.4817629179331307E-2</v>
      </c>
      <c r="D85" s="3">
        <f t="shared" ca="1" si="8"/>
        <v>-3.6673632218844985E-3</v>
      </c>
      <c r="E85" s="4"/>
    </row>
    <row r="86" spans="1:5" x14ac:dyDescent="0.3">
      <c r="A86" s="2" t="s">
        <v>12</v>
      </c>
      <c r="B86" s="3">
        <v>0.2475</v>
      </c>
      <c r="C86" s="3" cm="1">
        <f t="array" aca="1" ref="C86" ca="1">_xll.YCP(A86,"roc_1")</f>
        <v>2.2272385252069225E-2</v>
      </c>
      <c r="D86" s="3">
        <f t="shared" ca="1" si="8"/>
        <v>5.5124153498871328E-3</v>
      </c>
      <c r="E86" s="4"/>
    </row>
    <row r="87" spans="1:5" x14ac:dyDescent="0.3">
      <c r="A87" s="2" t="s">
        <v>14</v>
      </c>
      <c r="B87" s="3">
        <v>0.12375</v>
      </c>
      <c r="C87" s="3" cm="1">
        <f t="array" aca="1" ref="C87" ca="1">_xll.YCP(A87,"roc_1")</f>
        <v>2.7829810008027828E-2</v>
      </c>
      <c r="D87" s="3">
        <f t="shared" ref="D87" ca="1" si="9">B87*C87</f>
        <v>3.4439389884934439E-3</v>
      </c>
      <c r="E87" s="4"/>
    </row>
    <row r="88" spans="1:5" ht="16.2" thickBot="1" x14ac:dyDescent="0.35">
      <c r="A88" s="2" t="s">
        <v>54</v>
      </c>
      <c r="B88" s="3">
        <v>0.12375</v>
      </c>
      <c r="C88" s="3" cm="1">
        <f t="array" aca="1" ref="C88" ca="1">_xll.YCP(A88,"roc_1")</f>
        <v>2.5977577249111294E-3</v>
      </c>
      <c r="D88" s="3">
        <f t="shared" ca="1" si="8"/>
        <v>3.2147251845775226E-4</v>
      </c>
      <c r="E88" s="4"/>
    </row>
    <row r="89" spans="1:5" ht="16.2" thickBot="1" x14ac:dyDescent="0.35">
      <c r="A89" s="2"/>
      <c r="B89" s="3">
        <f>SUM(B83:B88)</f>
        <v>1</v>
      </c>
      <c r="C89" s="4"/>
      <c r="D89" s="5">
        <f ca="1">SUM(D83:D88)</f>
        <v>6.0908288775675893E-3</v>
      </c>
      <c r="E89" s="5">
        <f ca="1">D89-Benchmarks!$D$4</f>
        <v>-5.4064274589884602E-3</v>
      </c>
    </row>
  </sheetData>
  <mergeCells count="6">
    <mergeCell ref="A1:D1"/>
    <mergeCell ref="A71:D71"/>
    <mergeCell ref="A20:D20"/>
    <mergeCell ref="A81:D81"/>
    <mergeCell ref="A41:D41"/>
    <mergeCell ref="A55:D55"/>
  </mergeCells>
  <conditionalFormatting sqref="C3:D18 C22:D40 C43:D54 C57:D69 C73:D79 C83:D89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3:E54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69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79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89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7"/>
  <sheetViews>
    <sheetView workbookViewId="0">
      <selection activeCell="G13" sqref="G13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50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11</v>
      </c>
      <c r="B3" s="3">
        <v>0.28000000000000003</v>
      </c>
      <c r="C3" s="3" cm="1">
        <f t="array" aca="1" ref="C3" ca="1">_xll.YCP(A3,"roc_1")</f>
        <v>1.2219070477852935E-2</v>
      </c>
      <c r="D3" s="3">
        <f ca="1">B3*C3</f>
        <v>3.4213397337988219E-3</v>
      </c>
    </row>
    <row r="4" spans="1:5" x14ac:dyDescent="0.3">
      <c r="A4" s="2" t="s">
        <v>61</v>
      </c>
      <c r="B4" s="3">
        <v>0.1</v>
      </c>
      <c r="C4" s="3" cm="1">
        <f t="array" aca="1" ref="C4" ca="1">_xll.YCP(A4,"roc_1")</f>
        <v>1.1463475859760689E-2</v>
      </c>
      <c r="D4" s="3">
        <f ca="1">B4*C4</f>
        <v>1.1463475859760689E-3</v>
      </c>
    </row>
    <row r="5" spans="1:5" x14ac:dyDescent="0.3">
      <c r="A5" s="2" t="s">
        <v>15</v>
      </c>
      <c r="B5" s="3">
        <v>0.05</v>
      </c>
      <c r="C5" s="3" cm="1">
        <f t="array" aca="1" ref="C5" ca="1">_xll.YCP(A5,"roc_1")</f>
        <v>2.1067415730337078E-2</v>
      </c>
      <c r="D5" s="3">
        <f t="shared" ref="D5:D6" ca="1" si="0">B5*C5</f>
        <v>1.0533707865168539E-3</v>
      </c>
    </row>
    <row r="6" spans="1:5" x14ac:dyDescent="0.3">
      <c r="A6" s="2" t="s">
        <v>16</v>
      </c>
      <c r="B6" s="3">
        <v>0.05</v>
      </c>
      <c r="C6" s="3" cm="1">
        <f t="array" aca="1" ref="C6" ca="1">_xll.YCP(A6,"roc_1")</f>
        <v>7.9555966697502315E-3</v>
      </c>
      <c r="D6" s="3">
        <f t="shared" ca="1" si="0"/>
        <v>3.9777983348751161E-4</v>
      </c>
    </row>
    <row r="7" spans="1:5" x14ac:dyDescent="0.3">
      <c r="A7" s="2" t="s">
        <v>7</v>
      </c>
      <c r="B7" s="3">
        <v>0.25</v>
      </c>
      <c r="C7" s="3" cm="1">
        <f t="array" aca="1" ref="C7" ca="1">_xll.YCP(A7,"roc_1")</f>
        <v>1.6961779687445857E-2</v>
      </c>
      <c r="D7" s="3">
        <f t="shared" ref="D7:D15" ca="1" si="1">B7*C7</f>
        <v>4.2404449218614642E-3</v>
      </c>
    </row>
    <row r="8" spans="1:5" x14ac:dyDescent="0.3">
      <c r="A8" s="2" t="s">
        <v>51</v>
      </c>
      <c r="B8" s="3">
        <v>0.03</v>
      </c>
      <c r="C8" s="3" cm="1">
        <f t="array" aca="1" ref="C8" ca="1">_xll.YCP(A8,"roc_1")</f>
        <v>2.2547914317925591E-3</v>
      </c>
      <c r="D8" s="3">
        <f t="shared" ca="1" si="1"/>
        <v>6.7643742953776763E-5</v>
      </c>
    </row>
    <row r="9" spans="1:5" x14ac:dyDescent="0.3">
      <c r="A9" s="2" t="s">
        <v>21</v>
      </c>
      <c r="B9" s="3">
        <v>0.02</v>
      </c>
      <c r="C9" s="3" cm="1">
        <f t="array" aca="1" ref="C9" ca="1">_xll.YCP(A9,"roc_1")</f>
        <v>1.7937219730941704E-2</v>
      </c>
      <c r="D9" s="3">
        <f t="shared" ref="D9" ca="1" si="2">B9*C9</f>
        <v>3.5874439461883406E-4</v>
      </c>
    </row>
    <row r="10" spans="1:5" x14ac:dyDescent="0.3">
      <c r="A10" s="2" t="s">
        <v>12</v>
      </c>
      <c r="B10" s="3">
        <v>0.05</v>
      </c>
      <c r="C10" s="3" cm="1">
        <f t="array" aca="1" ref="C10" ca="1">_xll.YCP(A10,"roc_1")</f>
        <v>2.2272385252069225E-2</v>
      </c>
      <c r="D10" s="3">
        <f t="shared" ca="1" si="1"/>
        <v>1.1136192626034613E-3</v>
      </c>
    </row>
    <row r="11" spans="1:5" x14ac:dyDescent="0.3">
      <c r="A11" s="2" t="s">
        <v>53</v>
      </c>
      <c r="B11" s="3">
        <v>0.05</v>
      </c>
      <c r="C11" s="3" cm="1">
        <f t="array" aca="1" ref="C11" ca="1">_xll.YCP(A11,"roc_1")</f>
        <v>1.9409100711667026E-3</v>
      </c>
      <c r="D11" s="3">
        <f t="shared" ca="1" si="1"/>
        <v>9.7045503558335143E-5</v>
      </c>
    </row>
    <row r="12" spans="1:5" x14ac:dyDescent="0.3">
      <c r="A12" s="2" t="s">
        <v>13</v>
      </c>
      <c r="B12" s="3">
        <v>0.05</v>
      </c>
      <c r="C12" s="3" cm="1">
        <f t="array" aca="1" ref="C12" ca="1">_xll.YCP(A12,"roc_1")</f>
        <v>-1.4817629179331307E-2</v>
      </c>
      <c r="D12" s="3">
        <f t="shared" ca="1" si="1"/>
        <v>-7.4088145896656537E-4</v>
      </c>
    </row>
    <row r="13" spans="1:5" x14ac:dyDescent="0.3">
      <c r="A13" s="2" t="s">
        <v>14</v>
      </c>
      <c r="B13" s="3">
        <v>2.5000000000000001E-2</v>
      </c>
      <c r="C13" s="3" cm="1">
        <f t="array" aca="1" ref="C13" ca="1">_xll.YCP(A13,"roc_1")</f>
        <v>2.7829810008027828E-2</v>
      </c>
      <c r="D13" s="3">
        <f t="shared" ca="1" si="1"/>
        <v>6.9574525020069577E-4</v>
      </c>
    </row>
    <row r="14" spans="1:5" x14ac:dyDescent="0.3">
      <c r="A14" s="2" t="s">
        <v>54</v>
      </c>
      <c r="B14" s="3">
        <v>2.5000000000000001E-2</v>
      </c>
      <c r="C14" s="3" cm="1">
        <f t="array" aca="1" ref="C14" ca="1">_xll.YCP(A14,"roc_1")</f>
        <v>2.5977577249111294E-3</v>
      </c>
      <c r="D14" s="3">
        <f t="shared" ref="D14" ca="1" si="3">B14*C14</f>
        <v>6.4943943122778243E-5</v>
      </c>
    </row>
    <row r="15" spans="1:5" x14ac:dyDescent="0.3">
      <c r="A15" s="2" t="s">
        <v>22</v>
      </c>
      <c r="B15" s="3">
        <v>0.02</v>
      </c>
      <c r="C15" s="3" cm="1">
        <f t="array" aca="1" ref="C15" ca="1">_xll.YCP(A15,"roc_1")</f>
        <v>-9.2378752886836026E-3</v>
      </c>
      <c r="D15" s="3">
        <f t="shared" ca="1" si="1"/>
        <v>-1.8475750577367207E-4</v>
      </c>
    </row>
    <row r="16" spans="1:5" ht="16.2" thickBot="1" x14ac:dyDescent="0.35">
      <c r="A16" s="2" t="s">
        <v>55</v>
      </c>
      <c r="B16" s="3">
        <v>0</v>
      </c>
      <c r="C16" s="3" cm="1">
        <f t="array" aca="1" ref="C16" ca="1">_xll.YCP(A16,"roc_1")</f>
        <v>-2.8082253827339432E-3</v>
      </c>
      <c r="D16" s="3">
        <f t="shared" ref="D16" ca="1" si="4">B16*C16</f>
        <v>0</v>
      </c>
    </row>
    <row r="17" spans="2:5" ht="16.2" thickBot="1" x14ac:dyDescent="0.35">
      <c r="B17" s="3">
        <f>SUM(B3:B16)</f>
        <v>1.0000000000000002</v>
      </c>
      <c r="D17" s="5">
        <f ca="1">SUM(D3:D16)</f>
        <v>1.1731385993958364E-2</v>
      </c>
      <c r="E17" s="5">
        <f ca="1">D17-Benchmarks!$D$4</f>
        <v>2.3412965740231446E-4</v>
      </c>
    </row>
  </sheetData>
  <mergeCells count="1">
    <mergeCell ref="A1:D1"/>
  </mergeCells>
  <conditionalFormatting sqref="C3:D17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7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49</v>
      </c>
      <c r="B1" s="31">
        <f ca="1">TODAY()-1</f>
        <v>46112</v>
      </c>
    </row>
    <row r="2" spans="1:6" ht="21" customHeight="1" thickBot="1" x14ac:dyDescent="0.35">
      <c r="A2" s="43" t="s">
        <v>25</v>
      </c>
      <c r="B2" s="44"/>
      <c r="C2" s="16" t="s">
        <v>26</v>
      </c>
      <c r="D2" s="16" t="str">
        <f>"+/- Bench"</f>
        <v>+/- Bench</v>
      </c>
      <c r="E2" s="20" t="s">
        <v>27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1.1497256336556049E-2</v>
      </c>
      <c r="D3" s="18"/>
      <c r="E3" s="21" cm="1">
        <f t="array" aca="1" ref="E3" ca="1">_xll.YCP("SPYM","ytd_total_return")</f>
        <v>-4.3491000000000002E-2</v>
      </c>
      <c r="F3" s="13"/>
    </row>
    <row r="4" spans="1:6" ht="21" customHeight="1" x14ac:dyDescent="0.35">
      <c r="A4" s="39" t="s">
        <v>28</v>
      </c>
      <c r="B4" s="40"/>
      <c r="C4" s="12">
        <f ca="1">Benchmarks!D9</f>
        <v>9.089142684427556E-3</v>
      </c>
      <c r="D4" s="18"/>
      <c r="E4" s="21" cm="1">
        <f t="array" aca="1" ref="E4" ca="1">_xll.YCP("DIA","ytd_total_return")</f>
        <v>-3.2521000000000001E-2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1.6961779687445857E-2</v>
      </c>
      <c r="D5" s="18"/>
      <c r="E5" s="21" cm="1">
        <f t="array" aca="1" ref="E5" ca="1">_xll.YCP("QQQ","ytd_total_return")</f>
        <v>-5.9270999999999997E-2</v>
      </c>
      <c r="F5" s="12"/>
    </row>
    <row r="6" spans="1:6" ht="21" customHeight="1" x14ac:dyDescent="0.35">
      <c r="A6" s="23" t="s">
        <v>34</v>
      </c>
      <c r="B6" s="26"/>
      <c r="C6" s="12">
        <f ca="1">Benchmarks!D19</f>
        <v>-1.662133575098217E-3</v>
      </c>
      <c r="D6" s="18"/>
      <c r="E6" s="21" cm="1">
        <f t="array" aca="1" ref="E6" ca="1">_xll.YCP("AGG","ytd_total_return")</f>
        <v>2.63E-4</v>
      </c>
      <c r="F6" s="13"/>
    </row>
    <row r="7" spans="1:6" ht="21" customHeight="1" x14ac:dyDescent="0.35">
      <c r="A7" s="23" t="s">
        <v>35</v>
      </c>
      <c r="B7" s="26"/>
      <c r="C7" s="12">
        <f ca="1">Benchmarks!D24</f>
        <v>-4.4996400287976961E-3</v>
      </c>
      <c r="D7" s="18"/>
      <c r="E7" s="21" cm="1">
        <f t="array" aca="1" ref="E7" ca="1">_xll.YCP("UUP","ytd_total_return")</f>
        <v>2.7747000000000001E-2</v>
      </c>
      <c r="F7" s="13"/>
    </row>
    <row r="8" spans="1:6" ht="21" customHeight="1" thickBot="1" x14ac:dyDescent="0.4">
      <c r="A8" s="24" t="s">
        <v>45</v>
      </c>
      <c r="B8" s="25"/>
      <c r="C8" s="14">
        <f ca="1">Benchmarks!D29</f>
        <v>-9.2378752886836026E-3</v>
      </c>
      <c r="D8" s="19"/>
      <c r="E8" s="22" cm="1">
        <f t="array" aca="1" ref="E8" ca="1">_xll.YCP("PDBC","ytd_total_return")</f>
        <v>0.30717</v>
      </c>
      <c r="F8" s="15"/>
    </row>
    <row r="9" spans="1:6" ht="21" customHeight="1" thickTop="1" x14ac:dyDescent="0.3">
      <c r="A9" s="41" t="s">
        <v>29</v>
      </c>
      <c r="B9" s="42"/>
      <c r="C9" s="12">
        <f ca="1">NelsonCorp!D18</f>
        <v>3.1239036337280166E-3</v>
      </c>
      <c r="D9" s="12">
        <f ca="1">NelsonCorp!E18</f>
        <v>-8.3733527028280325E-3</v>
      </c>
      <c r="E9" s="21" cm="1">
        <f t="array" aca="1" ref="E9" ca="1">_xll.YCP("P:552644","ytd_total_return")</f>
        <v>-1.9331000000000001E-2</v>
      </c>
      <c r="F9" s="13">
        <f ca="1">E9-$E$3</f>
        <v>2.4160000000000001E-2</v>
      </c>
    </row>
    <row r="10" spans="1:6" ht="21" customHeight="1" x14ac:dyDescent="0.3">
      <c r="A10" s="41" t="s">
        <v>30</v>
      </c>
      <c r="B10" s="42"/>
      <c r="C10" s="12">
        <f ca="1">NelsonCorp!D39</f>
        <v>3.2995278606014276E-4</v>
      </c>
      <c r="D10" s="12">
        <f ca="1">NelsonCorp!E39</f>
        <v>-1.1167303550495907E-2</v>
      </c>
      <c r="E10" s="21" cm="1">
        <f t="array" aca="1" ref="E10" ca="1">_xll.YCP("P:555767","ytd_total_return")</f>
        <v>-5.5469999999999998E-3</v>
      </c>
      <c r="F10" s="13">
        <f t="shared" ref="F10:F14" ca="1" si="0">E10-$E$3</f>
        <v>3.7944000000000006E-2</v>
      </c>
    </row>
    <row r="11" spans="1:6" ht="21" customHeight="1" x14ac:dyDescent="0.3">
      <c r="A11" s="41" t="s">
        <v>44</v>
      </c>
      <c r="B11" s="42"/>
      <c r="C11" s="12">
        <f ca="1">NelsonCorp!D53</f>
        <v>4.4936214317832842E-3</v>
      </c>
      <c r="D11" s="12">
        <f ca="1">NelsonCorp!E53</f>
        <v>-7.0036349047727653E-3</v>
      </c>
      <c r="E11" s="21" cm="1">
        <f t="array" aca="1" ref="E11" ca="1">_xll.YCP("P:1146880","ytd_total_return")</f>
        <v>-2.8355000000000002E-2</v>
      </c>
      <c r="F11" s="13">
        <f t="shared" ref="F11" ca="1" si="1">E11-$E$3</f>
        <v>1.5136E-2</v>
      </c>
    </row>
    <row r="12" spans="1:6" ht="21" customHeight="1" x14ac:dyDescent="0.3">
      <c r="A12" s="28" t="s">
        <v>47</v>
      </c>
      <c r="B12" s="29"/>
      <c r="C12" s="12">
        <f ca="1">NelsonCorp!D69</f>
        <v>4.6763126871303788E-3</v>
      </c>
      <c r="D12" s="12">
        <f ca="1">NelsonCorp!E69</f>
        <v>-6.8209436494256707E-3</v>
      </c>
      <c r="E12" s="21" cm="1">
        <f t="array" aca="1" ref="E12" ca="1">_xll.YCP("P:597223","ytd_total_return")</f>
        <v>-2.3491000000000001E-2</v>
      </c>
      <c r="F12" s="13">
        <f t="shared" ref="F12" ca="1" si="2">E12-$E$3</f>
        <v>0.02</v>
      </c>
    </row>
    <row r="13" spans="1:6" ht="21" customHeight="1" x14ac:dyDescent="0.3">
      <c r="A13" s="41" t="s">
        <v>31</v>
      </c>
      <c r="B13" s="42"/>
      <c r="C13" s="12">
        <f ca="1">NelsonCorp!D79</f>
        <v>-2.2083733814333814E-3</v>
      </c>
      <c r="D13" s="12">
        <f ca="1">NelsonCorp!E79</f>
        <v>-1.370562971798943E-2</v>
      </c>
      <c r="E13" s="21" cm="1">
        <f t="array" aca="1" ref="E13" ca="1">_xll.YCP("P:1297251","ytd_total_return")</f>
        <v>-2.4996999999999998E-2</v>
      </c>
      <c r="F13" s="13">
        <f t="shared" ca="1" si="0"/>
        <v>1.8494000000000003E-2</v>
      </c>
    </row>
    <row r="14" spans="1:6" ht="21" customHeight="1" thickBot="1" x14ac:dyDescent="0.35">
      <c r="A14" s="37" t="s">
        <v>32</v>
      </c>
      <c r="B14" s="38"/>
      <c r="C14" s="14">
        <f ca="1">NelsonCorp!D89</f>
        <v>6.0908288775675893E-3</v>
      </c>
      <c r="D14" s="14">
        <f ca="1">NelsonCorp!E89</f>
        <v>-5.4064274589884602E-3</v>
      </c>
      <c r="E14" s="22" cm="1">
        <f t="array" aca="1" ref="E14" ca="1">_xll.YCP("P:1729042","ytd_total_return")</f>
        <v>-7.9559999999999995E-3</v>
      </c>
      <c r="F14" s="15">
        <f t="shared" ca="1" si="0"/>
        <v>3.5535000000000004E-2</v>
      </c>
    </row>
    <row r="15" spans="1:6" ht="21" customHeight="1" thickTop="1" thickBot="1" x14ac:dyDescent="0.4">
      <c r="A15" s="35" t="s">
        <v>52</v>
      </c>
      <c r="B15" s="36"/>
      <c r="C15" s="32">
        <f ca="1">Personal!D17</f>
        <v>1.1731385993958364E-2</v>
      </c>
      <c r="D15" s="32">
        <f ca="1">Personal!E17</f>
        <v>2.3412965740231446E-4</v>
      </c>
      <c r="E15" s="33" cm="1">
        <f t="array" aca="1" ref="E15" ca="1">_xll.YCP("P:1969297","ytd_total_return")</f>
        <v>-2.5544000000000001E-2</v>
      </c>
      <c r="F15" s="34">
        <f ca="1">E15-$E$3</f>
        <v>1.7947000000000001E-2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2026-04-01T16:24:38Z</dcterms:modified>
  <cp:category/>
  <cp:contentStatus/>
</cp:coreProperties>
</file>