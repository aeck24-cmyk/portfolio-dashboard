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elsoncorpwm-my.sharepoint.com/personal/austin_eck_nelsoncorp_com/Documents/"/>
    </mc:Choice>
  </mc:AlternateContent>
  <xr:revisionPtr revIDLastSave="0" documentId="8_{8DB80307-F987-4D37-8148-E5CD524438BA}" xr6:coauthVersionLast="47" xr6:coauthVersionMax="47" xr10:uidLastSave="{00000000-0000-0000-0000-000000000000}"/>
  <bookViews>
    <workbookView xWindow="-120" yWindow="-120" windowWidth="29040" windowHeight="15840" activeTab="2" xr2:uid="{2CE851D4-8592-44BE-9EF4-07154C971ED2}"/>
  </bookViews>
  <sheets>
    <sheet name="Benchmarks" sheetId="4" r:id="rId1"/>
    <sheet name="NelsonCorp" sheetId="3" r:id="rId2"/>
    <sheet name="Dashboar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3" l="1"/>
  <c r="E57" i="3"/>
  <c r="E7" i="2" a="1"/>
  <c r="E6" i="2" a="1"/>
  <c r="C66" i="3" a="1"/>
  <c r="C69" i="3" a="1"/>
  <c r="E3" i="2" a="1"/>
  <c r="C60" i="3" a="1"/>
  <c r="C61" i="3" a="1"/>
  <c r="C64" i="3" a="1"/>
  <c r="E13" i="2" a="1"/>
  <c r="E5" i="2" a="1"/>
  <c r="C63" i="3" a="1"/>
  <c r="E4" i="2" a="1"/>
  <c r="C68" i="3" a="1"/>
  <c r="C58" i="3" a="1"/>
  <c r="E2" i="2" a="1"/>
  <c r="C59" i="3" a="1"/>
  <c r="C65" i="3" a="1"/>
  <c r="C67" i="3" a="1"/>
  <c r="C62" i="3" a="1"/>
  <c r="E12" i="2" a="1"/>
  <c r="E11" i="2" a="1"/>
  <c r="E10" i="2" a="1"/>
  <c r="E9" i="2" a="1"/>
  <c r="E8" i="2" a="1"/>
  <c r="E13" i="2" l="1"/>
  <c r="E12" i="2"/>
  <c r="E11" i="2"/>
  <c r="E10" i="2"/>
  <c r="E9" i="2"/>
  <c r="E8" i="2"/>
  <c r="E7" i="2"/>
  <c r="E6" i="2"/>
  <c r="E5" i="2"/>
  <c r="E4" i="2"/>
  <c r="E3" i="2"/>
  <c r="E2" i="2"/>
  <c r="C58" i="3"/>
  <c r="D58" i="3" s="1"/>
  <c r="C66" i="3"/>
  <c r="D66" i="3" s="1"/>
  <c r="C61" i="3"/>
  <c r="D61" i="3" s="1"/>
  <c r="C69" i="3"/>
  <c r="D69" i="3" s="1"/>
  <c r="C64" i="3"/>
  <c r="D64" i="3" s="1"/>
  <c r="C59" i="3"/>
  <c r="D59" i="3" s="1"/>
  <c r="C62" i="3"/>
  <c r="D62" i="3" s="1"/>
  <c r="C67" i="3"/>
  <c r="D67" i="3" s="1"/>
  <c r="C65" i="3"/>
  <c r="D65" i="3" s="1"/>
  <c r="C60" i="3"/>
  <c r="D60" i="3" s="1"/>
  <c r="C68" i="3"/>
  <c r="D68" i="3" s="1"/>
  <c r="C63" i="3"/>
  <c r="D63" i="3" s="1"/>
  <c r="D70" i="3" l="1"/>
  <c r="C11" i="2" s="1"/>
  <c r="B54" i="3" l="1"/>
  <c r="E42" i="3"/>
  <c r="C48" i="3" a="1"/>
  <c r="C43" i="3" a="1"/>
  <c r="C46" i="3" a="1"/>
  <c r="C51" i="3" a="1"/>
  <c r="C50" i="3" a="1"/>
  <c r="C53" i="3" a="1"/>
  <c r="C49" i="3" a="1"/>
  <c r="C45" i="3" a="1"/>
  <c r="C44" i="3" a="1"/>
  <c r="C52" i="3" a="1"/>
  <c r="C47" i="3" a="1"/>
  <c r="C43" i="3" l="1"/>
  <c r="D43" i="3" s="1"/>
  <c r="C51" i="3"/>
  <c r="D51" i="3" s="1"/>
  <c r="C49" i="3"/>
  <c r="D49" i="3" s="1"/>
  <c r="C44" i="3"/>
  <c r="D44" i="3" s="1"/>
  <c r="C52" i="3"/>
  <c r="D52" i="3" s="1"/>
  <c r="C47" i="3"/>
  <c r="D47" i="3" s="1"/>
  <c r="C50" i="3"/>
  <c r="D50" i="3" s="1"/>
  <c r="C46" i="3"/>
  <c r="D46" i="3" s="1"/>
  <c r="C45" i="3"/>
  <c r="D45" i="3" s="1"/>
  <c r="C53" i="3"/>
  <c r="D53" i="3" s="1"/>
  <c r="C48" i="3"/>
  <c r="D48" i="3" s="1"/>
  <c r="D54" i="3" l="1"/>
  <c r="C10" i="2" s="1"/>
  <c r="F1" i="2" l="1"/>
  <c r="B90" i="3"/>
  <c r="E84" i="3"/>
  <c r="D1" i="2"/>
  <c r="B39" i="3"/>
  <c r="B18" i="3"/>
  <c r="E21" i="3"/>
  <c r="E73" i="3"/>
  <c r="C25" i="3" a="1"/>
  <c r="C26" i="3" a="1"/>
  <c r="C86" i="3" a="1"/>
  <c r="C34" i="3" a="1"/>
  <c r="C23" i="4" a="1"/>
  <c r="C32" i="3" a="1"/>
  <c r="C37" i="3" a="1"/>
  <c r="C23" i="3" a="1"/>
  <c r="C85" i="3" a="1"/>
  <c r="C29" i="3" a="1"/>
  <c r="C36" i="3" a="1"/>
  <c r="C89" i="3" a="1"/>
  <c r="C33" i="3" a="1"/>
  <c r="C24" i="3" a="1"/>
  <c r="C30" i="3" a="1"/>
  <c r="C88" i="3" a="1"/>
  <c r="C74" i="3" a="1"/>
  <c r="C35" i="3" a="1"/>
  <c r="C38" i="3" a="1"/>
  <c r="C27" i="3" a="1"/>
  <c r="C28" i="4" a="1"/>
  <c r="C18" i="4" a="1"/>
  <c r="C87" i="3" a="1"/>
  <c r="C22" i="3" a="1"/>
  <c r="C31" i="3" a="1"/>
  <c r="C28" i="3" a="1"/>
  <c r="C28" i="4" l="1"/>
  <c r="D28" i="4" s="1"/>
  <c r="D29" i="4" s="1"/>
  <c r="C7" i="2" s="1"/>
  <c r="C23" i="4"/>
  <c r="D23" i="4" s="1"/>
  <c r="D24" i="4" s="1"/>
  <c r="C6" i="2" s="1"/>
  <c r="C18" i="4"/>
  <c r="D18" i="4" s="1"/>
  <c r="D19" i="4" s="1"/>
  <c r="C5" i="2" s="1"/>
  <c r="C89" i="3"/>
  <c r="D89" i="3" s="1"/>
  <c r="C87" i="3"/>
  <c r="D87" i="3" s="1"/>
  <c r="C88" i="3"/>
  <c r="D88" i="3" s="1"/>
  <c r="C85" i="3"/>
  <c r="D85" i="3" s="1"/>
  <c r="C86" i="3"/>
  <c r="D86" i="3" s="1"/>
  <c r="C37" i="3"/>
  <c r="D37" i="3" s="1"/>
  <c r="C36" i="3"/>
  <c r="D36" i="3" s="1"/>
  <c r="C35" i="3"/>
  <c r="D35" i="3" s="1"/>
  <c r="C26" i="3"/>
  <c r="D26" i="3" s="1"/>
  <c r="C34" i="3"/>
  <c r="D34" i="3" s="1"/>
  <c r="C22" i="3"/>
  <c r="D22" i="3" s="1"/>
  <c r="C25" i="3"/>
  <c r="D25" i="3" s="1"/>
  <c r="C32" i="3"/>
  <c r="D32" i="3" s="1"/>
  <c r="C27" i="3"/>
  <c r="D27" i="3" s="1"/>
  <c r="C38" i="3"/>
  <c r="D38" i="3" s="1"/>
  <c r="C23" i="3"/>
  <c r="D23" i="3" s="1"/>
  <c r="C30" i="3"/>
  <c r="D30" i="3" s="1"/>
  <c r="C29" i="3"/>
  <c r="D29" i="3" s="1"/>
  <c r="C33" i="3"/>
  <c r="D33" i="3" s="1"/>
  <c r="C28" i="3"/>
  <c r="D28" i="3" s="1"/>
  <c r="C24" i="3"/>
  <c r="D24" i="3" s="1"/>
  <c r="C31" i="3"/>
  <c r="D31" i="3" s="1"/>
  <c r="C74" i="3"/>
  <c r="D74" i="3" s="1"/>
  <c r="B75" i="3"/>
  <c r="C75" i="3" a="1"/>
  <c r="D90" i="3" l="1"/>
  <c r="C13" i="2" s="1"/>
  <c r="D39" i="3"/>
  <c r="C9" i="2" s="1"/>
  <c r="C75" i="3"/>
  <c r="D75" i="3" s="1"/>
  <c r="E2" i="3" l="1"/>
  <c r="B78" i="3"/>
  <c r="B77" i="3"/>
  <c r="B76" i="3"/>
  <c r="C76" i="3" a="1"/>
  <c r="C12" i="3" a="1"/>
  <c r="C13" i="3" a="1"/>
  <c r="C6" i="3" a="1"/>
  <c r="C7" i="3" a="1"/>
  <c r="C11" i="3" a="1"/>
  <c r="C5" i="3" a="1"/>
  <c r="C78" i="3" a="1"/>
  <c r="C15" i="3" a="1"/>
  <c r="C14" i="3" a="1"/>
  <c r="C3" i="3" a="1"/>
  <c r="C80" i="3" a="1"/>
  <c r="C4" i="3" a="1"/>
  <c r="C17" i="3" a="1"/>
  <c r="C8" i="4" a="1"/>
  <c r="C3" i="4" a="1"/>
  <c r="C79" i="3" a="1"/>
  <c r="C9" i="3" a="1"/>
  <c r="C77" i="3" a="1"/>
  <c r="C16" i="3" a="1"/>
  <c r="C13" i="4" a="1"/>
  <c r="C8" i="3" a="1"/>
  <c r="C10" i="3" a="1"/>
  <c r="B81" i="3" l="1"/>
  <c r="C13" i="4"/>
  <c r="D13" i="4" s="1"/>
  <c r="D14" i="4" s="1"/>
  <c r="C4" i="2" s="1"/>
  <c r="C8" i="4"/>
  <c r="D8" i="4" s="1"/>
  <c r="D9" i="4" s="1"/>
  <c r="C3" i="2" s="1"/>
  <c r="C3" i="4"/>
  <c r="D3" i="4" s="1"/>
  <c r="D4" i="4" s="1"/>
  <c r="E70" i="3" s="1"/>
  <c r="D11" i="2" s="1"/>
  <c r="C77" i="3"/>
  <c r="D77" i="3" s="1"/>
  <c r="C79" i="3"/>
  <c r="D79" i="3" s="1"/>
  <c r="C80" i="3"/>
  <c r="D80" i="3" s="1"/>
  <c r="C78" i="3"/>
  <c r="D78" i="3" s="1"/>
  <c r="C76" i="3"/>
  <c r="D76" i="3" s="1"/>
  <c r="C3" i="3"/>
  <c r="C16" i="3"/>
  <c r="D16" i="3" s="1"/>
  <c r="C17" i="3"/>
  <c r="D17" i="3" s="1"/>
  <c r="C15" i="3"/>
  <c r="D15" i="3" s="1"/>
  <c r="C14" i="3"/>
  <c r="D14" i="3" s="1"/>
  <c r="C9" i="3"/>
  <c r="D9" i="3" s="1"/>
  <c r="C13" i="3"/>
  <c r="D13" i="3" s="1"/>
  <c r="C12" i="3"/>
  <c r="D12" i="3" s="1"/>
  <c r="C11" i="3"/>
  <c r="D11" i="3" s="1"/>
  <c r="C10" i="3"/>
  <c r="D10" i="3" s="1"/>
  <c r="C8" i="3"/>
  <c r="D8" i="3" s="1"/>
  <c r="C6" i="3"/>
  <c r="D6" i="3" s="1"/>
  <c r="C5" i="3"/>
  <c r="D5" i="3" s="1"/>
  <c r="C7" i="3"/>
  <c r="D7" i="3" s="1"/>
  <c r="C4" i="3"/>
  <c r="D4" i="3" s="1"/>
  <c r="E54" i="3" l="1"/>
  <c r="D10" i="2" s="1"/>
  <c r="E39" i="3"/>
  <c r="D9" i="2" s="1"/>
  <c r="E90" i="3"/>
  <c r="D13" i="2" s="1"/>
  <c r="C2" i="2"/>
  <c r="D81" i="3"/>
  <c r="C12" i="2" l="1"/>
  <c r="E81" i="3"/>
  <c r="D12" i="2" s="1"/>
  <c r="D3" i="3"/>
  <c r="F10" i="2" l="1"/>
  <c r="F11" i="2"/>
  <c r="F12" i="2"/>
  <c r="F9" i="2"/>
  <c r="F13" i="2"/>
  <c r="D18" i="3"/>
  <c r="C8" i="2" l="1"/>
  <c r="E18" i="3"/>
  <c r="D8" i="2" s="1"/>
  <c r="F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<sst xmlns="http://schemas.openxmlformats.org/spreadsheetml/2006/main" count="148" uniqueCount="54">
  <si>
    <t>S&amp;P 500</t>
  </si>
  <si>
    <t>Ticker</t>
  </si>
  <si>
    <t>Weight</t>
  </si>
  <si>
    <t>Return</t>
  </si>
  <si>
    <t>Total Return</t>
  </si>
  <si>
    <t>VOO</t>
  </si>
  <si>
    <t>Dow Jones Industrial Average</t>
  </si>
  <si>
    <t>DIA</t>
  </si>
  <si>
    <t>Nasdaq 100</t>
  </si>
  <si>
    <t>QQQ</t>
  </si>
  <si>
    <t>MODERATE</t>
  </si>
  <si>
    <t>TLT</t>
  </si>
  <si>
    <t>USHY</t>
  </si>
  <si>
    <t>TIP</t>
  </si>
  <si>
    <t>VTI</t>
  </si>
  <si>
    <t>SPHB</t>
  </si>
  <si>
    <t>XLK</t>
  </si>
  <si>
    <t>AMLP</t>
  </si>
  <si>
    <t>SPMO</t>
  </si>
  <si>
    <t>VEA</t>
  </si>
  <si>
    <t>VWO</t>
  </si>
  <si>
    <t>QQQM</t>
  </si>
  <si>
    <t>SPYM</t>
  </si>
  <si>
    <t>SFLR</t>
  </si>
  <si>
    <t>ABS RTN MODERATE</t>
  </si>
  <si>
    <t>INDS</t>
  </si>
  <si>
    <t>SRVR</t>
  </si>
  <si>
    <t>PDBC</t>
  </si>
  <si>
    <t>ALL TACTICAL</t>
  </si>
  <si>
    <t>MACRO</t>
  </si>
  <si>
    <t>Model</t>
  </si>
  <si>
    <t>Daily</t>
  </si>
  <si>
    <t>YTD</t>
  </si>
  <si>
    <t>Dow</t>
  </si>
  <si>
    <t>Moderate</t>
  </si>
  <si>
    <t>Abs Rtn Moderate</t>
  </si>
  <si>
    <t>All Tactical</t>
  </si>
  <si>
    <t>Macro</t>
  </si>
  <si>
    <t>AGG</t>
  </si>
  <si>
    <t>U.S. Bonds</t>
  </si>
  <si>
    <t>U.S. Dollar</t>
  </si>
  <si>
    <t>UUP</t>
  </si>
  <si>
    <t>TAX MODERATE</t>
  </si>
  <si>
    <t>BOXX</t>
  </si>
  <si>
    <t>MEAR</t>
  </si>
  <si>
    <t>PFFV</t>
  </si>
  <si>
    <t>OMFL</t>
  </si>
  <si>
    <t>PTLC</t>
  </si>
  <si>
    <t>PTNQ</t>
  </si>
  <si>
    <t>Tax Moderate</t>
  </si>
  <si>
    <t>Commodities</t>
  </si>
  <si>
    <t>AGGRESSIVE</t>
  </si>
  <si>
    <t>Aggressive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</si>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</sst>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">
        <color indexed="64"/>
      </right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/>
      <top style="medium">
        <color indexed="64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2" fillId="0" borderId="0" xfId="0" applyFont="1"/>
    <xf numFmtId="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10" fontId="3" fillId="0" borderId="0" xfId="0" applyNumberFormat="1" applyFont="1" applyAlignment="1">
      <alignment vertical="center"/>
    </xf>
    <xf numFmtId="0" fontId="3" fillId="0" borderId="0" xfId="0" applyFont="1"/>
    <xf numFmtId="10" fontId="5" fillId="2" borderId="0" xfId="0" applyNumberFormat="1" applyFont="1" applyFill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5" xfId="0" applyNumberFormat="1" applyFont="1" applyFill="1" applyBorder="1" applyAlignment="1">
      <alignment horizontal="center" vertical="center"/>
    </xf>
    <xf numFmtId="10" fontId="5" fillId="2" borderId="6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0" fontId="5" fillId="2" borderId="0" xfId="0" applyNumberFormat="1" applyFont="1" applyFill="1" applyAlignment="1">
      <alignment vertical="center"/>
    </xf>
    <xf numFmtId="10" fontId="5" fillId="2" borderId="5" xfId="0" applyNumberFormat="1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10" fontId="5" fillId="2" borderId="11" xfId="0" applyNumberFormat="1" applyFont="1" applyFill="1" applyBorder="1" applyAlignment="1">
      <alignment horizontal="center" vertical="center"/>
    </xf>
    <xf numFmtId="10" fontId="5" fillId="2" borderId="1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0" fontId="1" fillId="0" borderId="0" xfId="0" applyNumberFormat="1" applyFont="1" applyAlignment="1">
      <alignment horizont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8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AE4D-598A-4643-A6D9-74631A7C38B4}">
  <dimension ref="A1:D29"/>
  <sheetViews>
    <sheetView workbookViewId="0">
      <selection activeCell="D24" sqref="D24"/>
    </sheetView>
  </sheetViews>
  <sheetFormatPr defaultRowHeight="15" x14ac:dyDescent="0.25"/>
  <cols>
    <col min="1" max="1" width="14.42578125" customWidth="1"/>
    <col min="2" max="2" width="11.42578125" customWidth="1"/>
    <col min="3" max="3" width="11.85546875" customWidth="1"/>
    <col min="4" max="4" width="16.7109375" customWidth="1"/>
  </cols>
  <sheetData>
    <row r="1" spans="1:4" ht="15.75" x14ac:dyDescent="0.25">
      <c r="A1" s="38" t="s">
        <v>0</v>
      </c>
      <c r="B1" s="38"/>
      <c r="C1" s="38"/>
      <c r="D1" s="38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6.5" thickBot="1" x14ac:dyDescent="0.3">
      <c r="A3" s="2" t="s">
        <v>5</v>
      </c>
      <c r="B3" s="3">
        <v>1</v>
      </c>
      <c r="C3" s="3" cm="1">
        <f t="array" aca="1" ref="C3" ca="1">_xll.YCP(A3,"roc_1")</f>
        <v>4.6816032102422016E-3</v>
      </c>
      <c r="D3" s="3">
        <f ca="1">B3*C3</f>
        <v>4.6816032102422016E-3</v>
      </c>
    </row>
    <row r="4" spans="1:4" ht="16.5" thickBot="1" x14ac:dyDescent="0.3">
      <c r="A4" s="2"/>
      <c r="B4" s="3"/>
      <c r="C4" s="4"/>
      <c r="D4" s="5">
        <f ca="1">SUM(D3:D3)</f>
        <v>4.6816032102422016E-3</v>
      </c>
    </row>
    <row r="6" spans="1:4" ht="15.75" x14ac:dyDescent="0.25">
      <c r="A6" s="38" t="s">
        <v>6</v>
      </c>
      <c r="B6" s="38"/>
      <c r="C6" s="38"/>
      <c r="D6" s="38"/>
    </row>
    <row r="7" spans="1:4" ht="15.75" x14ac:dyDescent="0.25">
      <c r="A7" s="1" t="s">
        <v>1</v>
      </c>
      <c r="B7" s="1" t="s">
        <v>2</v>
      </c>
      <c r="C7" s="1" t="s">
        <v>3</v>
      </c>
      <c r="D7" s="1" t="s">
        <v>4</v>
      </c>
    </row>
    <row r="8" spans="1:4" ht="16.5" thickBot="1" x14ac:dyDescent="0.3">
      <c r="A8" s="2" t="s">
        <v>7</v>
      </c>
      <c r="B8" s="3">
        <v>1</v>
      </c>
      <c r="C8" s="3" cm="1">
        <f t="array" aca="1" ref="C8" ca="1">_xll.YCP(A8,"roc_1")</f>
        <v>2.2789149944539679E-3</v>
      </c>
      <c r="D8" s="3">
        <f ca="1">B8*C8</f>
        <v>2.2789149944539679E-3</v>
      </c>
    </row>
    <row r="9" spans="1:4" ht="16.5" thickBot="1" x14ac:dyDescent="0.3">
      <c r="A9" s="2"/>
      <c r="B9" s="3"/>
      <c r="C9" s="4"/>
      <c r="D9" s="5">
        <f ca="1">SUM(D8:D8)</f>
        <v>2.2789149944539679E-3</v>
      </c>
    </row>
    <row r="11" spans="1:4" ht="15.75" x14ac:dyDescent="0.25">
      <c r="A11" s="38" t="s">
        <v>8</v>
      </c>
      <c r="B11" s="38"/>
      <c r="C11" s="38"/>
      <c r="D11" s="38"/>
    </row>
    <row r="12" spans="1:4" ht="15.75" x14ac:dyDescent="0.25">
      <c r="A12" s="1" t="s">
        <v>1</v>
      </c>
      <c r="B12" s="1" t="s">
        <v>2</v>
      </c>
      <c r="C12" s="1" t="s">
        <v>3</v>
      </c>
      <c r="D12" s="1" t="s">
        <v>4</v>
      </c>
    </row>
    <row r="13" spans="1:4" ht="16.5" thickBot="1" x14ac:dyDescent="0.3">
      <c r="A13" s="2" t="s">
        <v>9</v>
      </c>
      <c r="B13" s="3">
        <v>1</v>
      </c>
      <c r="C13" s="3" cm="1">
        <f t="array" aca="1" ref="C13" ca="1">_xll.YCP(A13,"roc_1")</f>
        <v>6.9848661233993014E-3</v>
      </c>
      <c r="D13" s="3">
        <f ca="1">B13*C13</f>
        <v>6.9848661233993014E-3</v>
      </c>
    </row>
    <row r="14" spans="1:4" ht="16.5" thickBot="1" x14ac:dyDescent="0.3">
      <c r="A14" s="2"/>
      <c r="B14" s="3"/>
      <c r="C14" s="4"/>
      <c r="D14" s="5">
        <f ca="1">SUM(D13:D13)</f>
        <v>6.9848661233993014E-3</v>
      </c>
    </row>
    <row r="16" spans="1:4" ht="15.75" x14ac:dyDescent="0.25">
      <c r="A16" s="38" t="s">
        <v>39</v>
      </c>
      <c r="B16" s="38"/>
      <c r="C16" s="38"/>
      <c r="D16" s="38"/>
    </row>
    <row r="17" spans="1:4" ht="15.75" x14ac:dyDescent="0.25">
      <c r="A17" s="1" t="s">
        <v>1</v>
      </c>
      <c r="B17" s="1" t="s">
        <v>2</v>
      </c>
      <c r="C17" s="1" t="s">
        <v>3</v>
      </c>
      <c r="D17" s="1" t="s">
        <v>4</v>
      </c>
    </row>
    <row r="18" spans="1:4" ht="16.5" thickBot="1" x14ac:dyDescent="0.3">
      <c r="A18" s="2" t="s">
        <v>38</v>
      </c>
      <c r="B18" s="3">
        <v>1</v>
      </c>
      <c r="C18" s="3" cm="1">
        <f t="array" aca="1" ref="C18" ca="1">_xll.YCP(A18,"roc_1")</f>
        <v>-1.3861386138613861E-3</v>
      </c>
      <c r="D18" s="3">
        <f ca="1">B18*C18</f>
        <v>-1.3861386138613861E-3</v>
      </c>
    </row>
    <row r="19" spans="1:4" ht="16.5" thickBot="1" x14ac:dyDescent="0.3">
      <c r="A19" s="2"/>
      <c r="B19" s="3"/>
      <c r="C19" s="4"/>
      <c r="D19" s="5">
        <f ca="1">SUM(D18:D18)</f>
        <v>-1.3861386138613861E-3</v>
      </c>
    </row>
    <row r="21" spans="1:4" ht="15.75" x14ac:dyDescent="0.25">
      <c r="A21" s="38" t="s">
        <v>40</v>
      </c>
      <c r="B21" s="38"/>
      <c r="C21" s="38"/>
      <c r="D21" s="38"/>
    </row>
    <row r="22" spans="1:4" ht="15.75" x14ac:dyDescent="0.25">
      <c r="A22" s="1" t="s">
        <v>1</v>
      </c>
      <c r="B22" s="1" t="s">
        <v>2</v>
      </c>
      <c r="C22" s="1" t="s">
        <v>3</v>
      </c>
      <c r="D22" s="1" t="s">
        <v>4</v>
      </c>
    </row>
    <row r="23" spans="1:4" ht="16.5" thickBot="1" x14ac:dyDescent="0.3">
      <c r="A23" s="2" t="s">
        <v>41</v>
      </c>
      <c r="B23" s="3">
        <v>1</v>
      </c>
      <c r="C23" s="3" cm="1">
        <f t="array" aca="1" ref="C23" ca="1">_xll.YCP(A23,"roc_1")</f>
        <v>5.945745076179859E-3</v>
      </c>
      <c r="D23" s="3">
        <f ca="1">B23*C23</f>
        <v>5.945745076179859E-3</v>
      </c>
    </row>
    <row r="24" spans="1:4" ht="16.5" thickBot="1" x14ac:dyDescent="0.3">
      <c r="A24" s="2"/>
      <c r="B24" s="3"/>
      <c r="C24" s="4"/>
      <c r="D24" s="5">
        <f ca="1">SUM(D23:D23)</f>
        <v>5.945745076179859E-3</v>
      </c>
    </row>
    <row r="26" spans="1:4" ht="15.75" x14ac:dyDescent="0.25">
      <c r="A26" s="38" t="s">
        <v>50</v>
      </c>
      <c r="B26" s="38"/>
      <c r="C26" s="38"/>
      <c r="D26" s="38"/>
    </row>
    <row r="27" spans="1:4" ht="15.75" x14ac:dyDescent="0.25">
      <c r="A27" s="1" t="s">
        <v>1</v>
      </c>
      <c r="B27" s="1" t="s">
        <v>2</v>
      </c>
      <c r="C27" s="1" t="s">
        <v>3</v>
      </c>
      <c r="D27" s="1" t="s">
        <v>4</v>
      </c>
    </row>
    <row r="28" spans="1:4" ht="16.5" thickBot="1" x14ac:dyDescent="0.3">
      <c r="A28" s="2" t="s">
        <v>27</v>
      </c>
      <c r="B28" s="3">
        <v>1</v>
      </c>
      <c r="C28" s="3" cm="1">
        <f t="array" aca="1" ref="C28" ca="1">_xll.YCP(A28,"roc_1")</f>
        <v>2.6728439059158945E-2</v>
      </c>
      <c r="D28" s="3">
        <f ca="1">B28*C28</f>
        <v>2.6728439059158945E-2</v>
      </c>
    </row>
    <row r="29" spans="1:4" ht="16.5" thickBot="1" x14ac:dyDescent="0.3">
      <c r="A29" s="2"/>
      <c r="B29" s="3"/>
      <c r="C29" s="4"/>
      <c r="D29" s="5">
        <f ca="1">SUM(D28:D28)</f>
        <v>2.6728439059158945E-2</v>
      </c>
    </row>
  </sheetData>
  <mergeCells count="6">
    <mergeCell ref="A21:D21"/>
    <mergeCell ref="A26:D26"/>
    <mergeCell ref="A1:D1"/>
    <mergeCell ref="A6:D6"/>
    <mergeCell ref="A11:D11"/>
    <mergeCell ref="A16:D16"/>
  </mergeCells>
  <conditionalFormatting sqref="C3:D4">
    <cfRule type="cellIs" dxfId="37" priority="15" operator="lessThan">
      <formula>0</formula>
    </cfRule>
    <cfRule type="cellIs" dxfId="36" priority="16" operator="greaterThan">
      <formula>0</formula>
    </cfRule>
  </conditionalFormatting>
  <conditionalFormatting sqref="C8:D9">
    <cfRule type="cellIs" dxfId="35" priority="13" operator="lessThan">
      <formula>0</formula>
    </cfRule>
    <cfRule type="cellIs" dxfId="34" priority="14" operator="greaterThan">
      <formula>0</formula>
    </cfRule>
  </conditionalFormatting>
  <conditionalFormatting sqref="C13:D14">
    <cfRule type="cellIs" dxfId="33" priority="11" operator="lessThan">
      <formula>0</formula>
    </cfRule>
    <cfRule type="cellIs" dxfId="32" priority="12" operator="greaterThan">
      <formula>0</formula>
    </cfRule>
  </conditionalFormatting>
  <conditionalFormatting sqref="C18:D19">
    <cfRule type="cellIs" dxfId="31" priority="7" operator="lessThan">
      <formula>0</formula>
    </cfRule>
    <cfRule type="cellIs" dxfId="30" priority="8" operator="greaterThan">
      <formula>0</formula>
    </cfRule>
  </conditionalFormatting>
  <conditionalFormatting sqref="C23:D24">
    <cfRule type="cellIs" dxfId="29" priority="5" operator="lessThan">
      <formula>0</formula>
    </cfRule>
    <cfRule type="cellIs" dxfId="28" priority="6" operator="greaterThan">
      <formula>0</formula>
    </cfRule>
  </conditionalFormatting>
  <conditionalFormatting sqref="C28:D29">
    <cfRule type="cellIs" dxfId="27" priority="3" operator="lessThan">
      <formula>0</formula>
    </cfRule>
    <cfRule type="cellIs" dxfId="26" priority="4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A97D-68D7-48DF-A759-7486BE206B77}">
  <dimension ref="A1:E90"/>
  <sheetViews>
    <sheetView workbookViewId="0">
      <selection activeCell="J5" sqref="J5"/>
    </sheetView>
  </sheetViews>
  <sheetFormatPr defaultRowHeight="15.75" x14ac:dyDescent="0.25"/>
  <cols>
    <col min="1" max="1" width="9.140625" style="6"/>
    <col min="2" max="2" width="11.7109375" style="6" customWidth="1"/>
    <col min="3" max="3" width="12.5703125" style="6" customWidth="1"/>
    <col min="4" max="4" width="15.85546875" style="6" customWidth="1"/>
    <col min="5" max="5" width="17.42578125" style="6" customWidth="1"/>
    <col min="6" max="9" width="9.140625" style="6"/>
    <col min="10" max="10" width="16.5703125" style="6" customWidth="1"/>
    <col min="11" max="16384" width="9.140625" style="6"/>
  </cols>
  <sheetData>
    <row r="1" spans="1:5" x14ac:dyDescent="0.25">
      <c r="A1" s="38" t="s">
        <v>10</v>
      </c>
      <c r="B1" s="38"/>
      <c r="C1" s="38"/>
      <c r="D1" s="38"/>
      <c r="E1" s="4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tr">
        <f>"+/- Benchmark"</f>
        <v>+/- Benchmark</v>
      </c>
    </row>
    <row r="3" spans="1:5" x14ac:dyDescent="0.25">
      <c r="A3" s="2" t="s">
        <v>53</v>
      </c>
      <c r="B3" s="3">
        <v>0.02</v>
      </c>
      <c r="C3" s="3" cm="1">
        <f t="array" aca="1" ref="C3" ca="1">_xll.YCP("M:FZFXX","roc_1")</f>
        <v>9.2E-5</v>
      </c>
      <c r="D3" s="3">
        <f ca="1">B3*C3</f>
        <v>1.84E-6</v>
      </c>
      <c r="E3" s="4"/>
    </row>
    <row r="4" spans="1:5" x14ac:dyDescent="0.25">
      <c r="A4" s="2" t="s">
        <v>11</v>
      </c>
      <c r="B4" s="3">
        <v>5.67E-2</v>
      </c>
      <c r="C4" s="3" cm="1">
        <f t="array" aca="1" ref="C4" ca="1">_xll.YCP(A4,"roc_1")</f>
        <v>-3.7832424613330365E-3</v>
      </c>
      <c r="D4" s="3">
        <f t="shared" ref="D4:D7" ca="1" si="0">B4*C4</f>
        <v>-2.1450984755758316E-4</v>
      </c>
      <c r="E4" s="4"/>
    </row>
    <row r="5" spans="1:5" x14ac:dyDescent="0.25">
      <c r="A5" s="2" t="s">
        <v>12</v>
      </c>
      <c r="B5" s="3">
        <v>5.67E-2</v>
      </c>
      <c r="C5" s="3" cm="1">
        <f t="array" aca="1" ref="C5" ca="1">_xll.YCP(A5,"roc_1")</f>
        <v>2.003205128205128E-3</v>
      </c>
      <c r="D5" s="3">
        <f t="shared" ca="1" si="0"/>
        <v>1.1358173076923075E-4</v>
      </c>
      <c r="E5" s="4"/>
    </row>
    <row r="6" spans="1:5" x14ac:dyDescent="0.25">
      <c r="A6" s="2" t="s">
        <v>13</v>
      </c>
      <c r="B6" s="3">
        <v>5.67E-2</v>
      </c>
      <c r="C6" s="3" cm="1">
        <f t="array" aca="1" ref="C6" ca="1">_xll.YCP(A6,"roc_1")</f>
        <v>-7.6418232491234374E-4</v>
      </c>
      <c r="D6" s="3">
        <f t="shared" ca="1" si="0"/>
        <v>-4.332913782252989E-5</v>
      </c>
      <c r="E6" s="4"/>
    </row>
    <row r="7" spans="1:5" x14ac:dyDescent="0.25">
      <c r="A7" s="2" t="s">
        <v>14</v>
      </c>
      <c r="B7" s="3">
        <v>0.1575</v>
      </c>
      <c r="C7" s="3" cm="1">
        <f t="array" aca="1" ref="C7" ca="1">_xll.YCP(A7,"roc_1")</f>
        <v>5.2659684931913257E-3</v>
      </c>
      <c r="D7" s="3">
        <f t="shared" ca="1" si="0"/>
        <v>8.2939003767763374E-4</v>
      </c>
      <c r="E7" s="4"/>
    </row>
    <row r="8" spans="1:5" x14ac:dyDescent="0.25">
      <c r="A8" s="2" t="s">
        <v>15</v>
      </c>
      <c r="B8" s="3">
        <v>4.8099999999999997E-2</v>
      </c>
      <c r="C8" s="3" cm="1">
        <f t="array" aca="1" ref="C8" ca="1">_xll.YCP(A8,"roc_1")</f>
        <v>1.0980966325036604E-2</v>
      </c>
      <c r="D8" s="3">
        <f t="shared" ref="D8:D17" ca="1" si="1">B8*C8</f>
        <v>5.2818448023426057E-4</v>
      </c>
      <c r="E8" s="4"/>
    </row>
    <row r="9" spans="1:5" x14ac:dyDescent="0.25">
      <c r="A9" s="2" t="s">
        <v>16</v>
      </c>
      <c r="B9" s="3">
        <v>4.8099999999999997E-2</v>
      </c>
      <c r="C9" s="3" cm="1">
        <f t="array" aca="1" ref="C9" ca="1">_xll.YCP(A9,"roc_1")</f>
        <v>1.0324060797246917E-2</v>
      </c>
      <c r="D9" s="3">
        <f t="shared" ca="1" si="1"/>
        <v>4.9658732434757673E-4</v>
      </c>
      <c r="E9" s="4"/>
    </row>
    <row r="10" spans="1:5" x14ac:dyDescent="0.25">
      <c r="A10" s="2" t="s">
        <v>17</v>
      </c>
      <c r="B10" s="3">
        <v>4.8099999999999997E-2</v>
      </c>
      <c r="C10" s="3" cm="1">
        <f t="array" aca="1" ref="C10" ca="1">_xll.YCP(A10,"roc_1")</f>
        <v>3.5999221638451061E-3</v>
      </c>
      <c r="D10" s="3">
        <f t="shared" ca="1" si="1"/>
        <v>1.731562560809496E-4</v>
      </c>
      <c r="E10" s="4"/>
    </row>
    <row r="11" spans="1:5" x14ac:dyDescent="0.25">
      <c r="A11" s="2" t="s">
        <v>18</v>
      </c>
      <c r="B11" s="3">
        <v>4.8099999999999997E-2</v>
      </c>
      <c r="C11" s="3" cm="1">
        <f t="array" aca="1" ref="C11" ca="1">_xll.YCP(A11,"roc_1")</f>
        <v>3.8700992764597003E-3</v>
      </c>
      <c r="D11" s="3">
        <f t="shared" ca="1" si="1"/>
        <v>1.8615177519771156E-4</v>
      </c>
      <c r="E11" s="4"/>
    </row>
    <row r="12" spans="1:5" x14ac:dyDescent="0.25">
      <c r="A12" s="2" t="s">
        <v>19</v>
      </c>
      <c r="B12" s="3">
        <v>0.06</v>
      </c>
      <c r="C12" s="3" cm="1">
        <f t="array" aca="1" ref="C12" ca="1">_xll.YCP(A12,"roc_1")</f>
        <v>3.3537474482356372E-3</v>
      </c>
      <c r="D12" s="3">
        <f t="shared" ca="1" si="1"/>
        <v>2.0122484689413822E-4</v>
      </c>
      <c r="E12" s="4"/>
    </row>
    <row r="13" spans="1:5" x14ac:dyDescent="0.25">
      <c r="A13" s="2" t="s">
        <v>20</v>
      </c>
      <c r="B13" s="3">
        <v>0.06</v>
      </c>
      <c r="C13" s="3" cm="1">
        <f t="array" aca="1" ref="C13" ca="1">_xll.YCP(A13,"roc_1")</f>
        <v>2.5956047759127876E-3</v>
      </c>
      <c r="D13" s="3">
        <f t="shared" ca="1" si="1"/>
        <v>1.5573628655476726E-4</v>
      </c>
      <c r="E13" s="4"/>
    </row>
    <row r="14" spans="1:5" x14ac:dyDescent="0.25">
      <c r="A14" s="2" t="s">
        <v>7</v>
      </c>
      <c r="B14" s="3">
        <v>0.13070000000000001</v>
      </c>
      <c r="C14" s="3" cm="1">
        <f t="array" aca="1" ref="C14" ca="1">_xll.YCP(A14,"roc_1")</f>
        <v>2.2789149944539679E-3</v>
      </c>
      <c r="D14" s="3">
        <f t="shared" ca="1" si="1"/>
        <v>2.9785418977513361E-4</v>
      </c>
      <c r="E14" s="4"/>
    </row>
    <row r="15" spans="1:5" x14ac:dyDescent="0.25">
      <c r="A15" s="2" t="s">
        <v>21</v>
      </c>
      <c r="B15" s="3">
        <v>5.6000000000000001E-2</v>
      </c>
      <c r="C15" s="3" cm="1">
        <f t="array" aca="1" ref="C15" ca="1">_xll.YCP(A15,"roc_1")</f>
        <v>7.0283152239770568E-3</v>
      </c>
      <c r="D15" s="3">
        <f t="shared" ca="1" si="1"/>
        <v>3.9358565254271518E-4</v>
      </c>
      <c r="E15" s="4"/>
    </row>
    <row r="16" spans="1:5" x14ac:dyDescent="0.25">
      <c r="A16" s="2" t="s">
        <v>22</v>
      </c>
      <c r="B16" s="3">
        <v>9.3299999999999994E-2</v>
      </c>
      <c r="C16" s="3" cm="1">
        <f t="array" aca="1" ref="C16" ca="1">_xll.YCP(A16,"roc_1")</f>
        <v>5.1039462218349313E-3</v>
      </c>
      <c r="D16" s="3">
        <f t="shared" ca="1" si="1"/>
        <v>4.7619818249719904E-4</v>
      </c>
      <c r="E16" s="4"/>
    </row>
    <row r="17" spans="1:5" ht="16.5" thickBot="1" x14ac:dyDescent="0.3">
      <c r="A17" s="2" t="s">
        <v>23</v>
      </c>
      <c r="B17" s="3">
        <v>0.06</v>
      </c>
      <c r="C17" s="3" cm="1">
        <f t="array" aca="1" ref="C17" ca="1">_xll.YCP(A17,"roc_1")</f>
        <v>4.9153468050245766E-3</v>
      </c>
      <c r="D17" s="3">
        <f t="shared" ca="1" si="1"/>
        <v>2.9492080830147458E-4</v>
      </c>
      <c r="E17" s="4"/>
    </row>
    <row r="18" spans="1:5" ht="16.5" thickBot="1" x14ac:dyDescent="0.3">
      <c r="A18" s="2"/>
      <c r="B18" s="3">
        <f>SUM(B3:B17)</f>
        <v>1</v>
      </c>
      <c r="C18" s="4"/>
      <c r="D18" s="5">
        <f ca="1">SUM(D3:D17)</f>
        <v>3.8905725854926779E-3</v>
      </c>
      <c r="E18" s="5">
        <f ca="1">D18-Benchmarks!$D$4</f>
        <v>-7.9103062474952367E-4</v>
      </c>
    </row>
    <row r="20" spans="1:5" x14ac:dyDescent="0.25">
      <c r="A20" s="38" t="s">
        <v>24</v>
      </c>
      <c r="B20" s="38"/>
      <c r="C20" s="38"/>
      <c r="D20" s="38"/>
      <c r="E20" s="4"/>
    </row>
    <row r="21" spans="1:5" x14ac:dyDescent="0.25">
      <c r="A21" s="1" t="s">
        <v>1</v>
      </c>
      <c r="B21" s="1" t="s">
        <v>2</v>
      </c>
      <c r="C21" s="1" t="s">
        <v>3</v>
      </c>
      <c r="D21" s="1" t="s">
        <v>4</v>
      </c>
      <c r="E21" s="1" t="str">
        <f>"+/- Benchmark"</f>
        <v>+/- Benchmark</v>
      </c>
    </row>
    <row r="22" spans="1:5" x14ac:dyDescent="0.25">
      <c r="A22" s="2" t="s">
        <v>53</v>
      </c>
      <c r="B22" s="3">
        <v>0.01</v>
      </c>
      <c r="C22" s="3" cm="1">
        <f t="array" aca="1" ref="C22" ca="1">_xll.YCP("M:FZFXX","roc_1")</f>
        <v>9.2E-5</v>
      </c>
      <c r="D22" s="3">
        <f ca="1">B22*C22</f>
        <v>9.1999999999999998E-7</v>
      </c>
      <c r="E22" s="4"/>
    </row>
    <row r="23" spans="1:5" x14ac:dyDescent="0.25">
      <c r="A23" s="2" t="s">
        <v>11</v>
      </c>
      <c r="B23" s="3">
        <v>3.6700000000000003E-2</v>
      </c>
      <c r="C23" s="3" cm="1">
        <f t="array" aca="1" ref="C23" ca="1">_xll.YCP(A23,"roc_1")</f>
        <v>-3.7832424613330365E-3</v>
      </c>
      <c r="D23" s="3">
        <f t="shared" ref="D23:D38" ca="1" si="2">B23*C23</f>
        <v>-1.3884499833092246E-4</v>
      </c>
      <c r="E23" s="4"/>
    </row>
    <row r="24" spans="1:5" x14ac:dyDescent="0.25">
      <c r="A24" s="2" t="s">
        <v>12</v>
      </c>
      <c r="B24" s="3">
        <v>3.6700000000000003E-2</v>
      </c>
      <c r="C24" s="3" cm="1">
        <f t="array" aca="1" ref="C24" ca="1">_xll.YCP(A24,"roc_1")</f>
        <v>2.003205128205128E-3</v>
      </c>
      <c r="D24" s="3">
        <f t="shared" ca="1" si="2"/>
        <v>7.3517628205128211E-5</v>
      </c>
      <c r="E24" s="4"/>
    </row>
    <row r="25" spans="1:5" x14ac:dyDescent="0.25">
      <c r="A25" s="2" t="s">
        <v>13</v>
      </c>
      <c r="B25" s="3">
        <v>3.6700000000000003E-2</v>
      </c>
      <c r="C25" s="3" cm="1">
        <f t="array" aca="1" ref="C25" ca="1">_xll.YCP(A25,"roc_1")</f>
        <v>-7.6418232491234374E-4</v>
      </c>
      <c r="D25" s="3">
        <f t="shared" ca="1" si="2"/>
        <v>-2.804549132428302E-5</v>
      </c>
      <c r="E25" s="4"/>
    </row>
    <row r="26" spans="1:5" x14ac:dyDescent="0.25">
      <c r="A26" s="2" t="s">
        <v>15</v>
      </c>
      <c r="B26" s="3">
        <v>2.5000000000000001E-2</v>
      </c>
      <c r="C26" s="3" cm="1">
        <f t="array" aca="1" ref="C26" ca="1">_xll.YCP(A26,"roc_1")</f>
        <v>1.0980966325036604E-2</v>
      </c>
      <c r="D26" s="3">
        <f t="shared" ca="1" si="2"/>
        <v>2.7452415812591509E-4</v>
      </c>
      <c r="E26" s="4"/>
    </row>
    <row r="27" spans="1:5" x14ac:dyDescent="0.25">
      <c r="A27" s="2" t="s">
        <v>16</v>
      </c>
      <c r="B27" s="3">
        <v>2.5000000000000001E-2</v>
      </c>
      <c r="C27" s="3" cm="1">
        <f t="array" aca="1" ref="C27" ca="1">_xll.YCP(A27,"roc_1")</f>
        <v>1.0324060797246917E-2</v>
      </c>
      <c r="D27" s="3">
        <f t="shared" ca="1" si="2"/>
        <v>2.5810151993117293E-4</v>
      </c>
      <c r="E27" s="4"/>
    </row>
    <row r="28" spans="1:5" x14ac:dyDescent="0.25">
      <c r="A28" s="2" t="s">
        <v>17</v>
      </c>
      <c r="B28" s="3">
        <v>2.5000000000000001E-2</v>
      </c>
      <c r="C28" s="3" cm="1">
        <f t="array" aca="1" ref="C28" ca="1">_xll.YCP(A28,"roc_1")</f>
        <v>3.5999221638451061E-3</v>
      </c>
      <c r="D28" s="3">
        <f t="shared" ca="1" si="2"/>
        <v>8.9998054096127657E-5</v>
      </c>
      <c r="E28" s="4"/>
    </row>
    <row r="29" spans="1:5" x14ac:dyDescent="0.25">
      <c r="A29" s="2" t="s">
        <v>18</v>
      </c>
      <c r="B29" s="3">
        <v>2.5000000000000001E-2</v>
      </c>
      <c r="C29" s="3" cm="1">
        <f t="array" aca="1" ref="C29" ca="1">_xll.YCP(A29,"roc_1")</f>
        <v>3.8700992764597003E-3</v>
      </c>
      <c r="D29" s="3">
        <f t="shared" ca="1" si="2"/>
        <v>9.6752481911492507E-5</v>
      </c>
      <c r="E29" s="4"/>
    </row>
    <row r="30" spans="1:5" x14ac:dyDescent="0.25">
      <c r="A30" s="2" t="s">
        <v>19</v>
      </c>
      <c r="B30" s="3">
        <v>9.7500000000000003E-2</v>
      </c>
      <c r="C30" s="3" cm="1">
        <f t="array" aca="1" ref="C30" ca="1">_xll.YCP(A30,"roc_1")</f>
        <v>3.3537474482356372E-3</v>
      </c>
      <c r="D30" s="3">
        <f t="shared" ca="1" si="2"/>
        <v>3.2699037620297463E-4</v>
      </c>
      <c r="E30" s="4"/>
    </row>
    <row r="31" spans="1:5" x14ac:dyDescent="0.25">
      <c r="A31" s="2" t="s">
        <v>20</v>
      </c>
      <c r="B31" s="3">
        <v>9.7500000000000003E-2</v>
      </c>
      <c r="C31" s="3" cm="1">
        <f t="array" aca="1" ref="C31" ca="1">_xll.YCP(A31,"roc_1")</f>
        <v>2.5956047759127876E-3</v>
      </c>
      <c r="D31" s="3">
        <f t="shared" ca="1" si="2"/>
        <v>2.530714656514968E-4</v>
      </c>
      <c r="E31" s="4"/>
    </row>
    <row r="32" spans="1:5" x14ac:dyDescent="0.25">
      <c r="A32" s="2" t="s">
        <v>7</v>
      </c>
      <c r="B32" s="3">
        <v>0.21229999999999999</v>
      </c>
      <c r="C32" s="3" cm="1">
        <f t="array" aca="1" ref="C32" ca="1">_xll.YCP(A32,"roc_1")</f>
        <v>2.2789149944539679E-3</v>
      </c>
      <c r="D32" s="3">
        <f t="shared" ca="1" si="2"/>
        <v>4.8381365332257734E-4</v>
      </c>
      <c r="E32" s="4"/>
    </row>
    <row r="33" spans="1:5" x14ac:dyDescent="0.25">
      <c r="A33" s="2" t="s">
        <v>21</v>
      </c>
      <c r="B33" s="3">
        <v>9.0999999999999998E-2</v>
      </c>
      <c r="C33" s="3" cm="1">
        <f t="array" aca="1" ref="C33" ca="1">_xll.YCP(A33,"roc_1")</f>
        <v>7.0283152239770568E-3</v>
      </c>
      <c r="D33" s="3">
        <f t="shared" ca="1" si="2"/>
        <v>6.3957668538191213E-4</v>
      </c>
      <c r="E33" s="4"/>
    </row>
    <row r="34" spans="1:5" x14ac:dyDescent="0.25">
      <c r="A34" s="2" t="s">
        <v>22</v>
      </c>
      <c r="B34" s="3">
        <v>0.15160000000000001</v>
      </c>
      <c r="C34" s="3" cm="1">
        <f t="array" aca="1" ref="C34" ca="1">_xll.YCP(A34,"roc_1")</f>
        <v>5.1039462218349313E-3</v>
      </c>
      <c r="D34" s="3">
        <f t="shared" ca="1" si="2"/>
        <v>7.7375824723017561E-4</v>
      </c>
      <c r="E34" s="4"/>
    </row>
    <row r="35" spans="1:5" x14ac:dyDescent="0.25">
      <c r="A35" s="2" t="s">
        <v>23</v>
      </c>
      <c r="B35" s="3">
        <v>0.05</v>
      </c>
      <c r="C35" s="3" cm="1">
        <f t="array" aca="1" ref="C35" ca="1">_xll.YCP(A35,"roc_1")</f>
        <v>4.9153468050245766E-3</v>
      </c>
      <c r="D35" s="3">
        <f t="shared" ref="D35:D37" ca="1" si="3">B35*C35</f>
        <v>2.4576734025122886E-4</v>
      </c>
      <c r="E35" s="4"/>
    </row>
    <row r="36" spans="1:5" x14ac:dyDescent="0.25">
      <c r="A36" s="2" t="s">
        <v>25</v>
      </c>
      <c r="B36" s="3">
        <v>0.02</v>
      </c>
      <c r="C36" s="3" cm="1">
        <f t="array" aca="1" ref="C36" ca="1">_xll.YCP(A36,"roc_1")</f>
        <v>-1.0648836057454186E-2</v>
      </c>
      <c r="D36" s="3">
        <f t="shared" ca="1" si="3"/>
        <v>-2.1297672114908373E-4</v>
      </c>
      <c r="E36" s="4"/>
    </row>
    <row r="37" spans="1:5" x14ac:dyDescent="0.25">
      <c r="A37" s="2" t="s">
        <v>26</v>
      </c>
      <c r="B37" s="3">
        <v>0.02</v>
      </c>
      <c r="C37" s="3" cm="1">
        <f t="array" aca="1" ref="C37" ca="1">_xll.YCP(A37,"roc_1")</f>
        <v>-1.6075721153846152E-2</v>
      </c>
      <c r="D37" s="3">
        <f t="shared" ca="1" si="3"/>
        <v>-3.2151442307692306E-4</v>
      </c>
      <c r="E37" s="4"/>
    </row>
    <row r="38" spans="1:5" ht="16.5" thickBot="1" x14ac:dyDescent="0.3">
      <c r="A38" s="2" t="s">
        <v>27</v>
      </c>
      <c r="B38" s="3">
        <v>0.04</v>
      </c>
      <c r="C38" s="3" cm="1">
        <f t="array" aca="1" ref="C38" ca="1">_xll.YCP(A38,"roc_1")</f>
        <v>2.6728439059158945E-2</v>
      </c>
      <c r="D38" s="3">
        <f t="shared" ca="1" si="2"/>
        <v>1.0691375623663579E-3</v>
      </c>
      <c r="E38" s="4"/>
    </row>
    <row r="39" spans="1:5" ht="16.5" thickBot="1" x14ac:dyDescent="0.3">
      <c r="A39" s="2"/>
      <c r="B39" s="3">
        <f>SUM(B22:B38)</f>
        <v>1</v>
      </c>
      <c r="C39" s="4"/>
      <c r="D39" s="5">
        <f ca="1">SUM(D22:D38)</f>
        <v>3.8845475387953477E-3</v>
      </c>
      <c r="E39" s="5">
        <f ca="1">D39-Benchmarks!$D$4</f>
        <v>-7.9705567144685392E-4</v>
      </c>
    </row>
    <row r="40" spans="1:5" x14ac:dyDescent="0.25">
      <c r="A40" s="2"/>
      <c r="B40" s="3"/>
      <c r="C40" s="4"/>
      <c r="D40" s="27"/>
      <c r="E40" s="27"/>
    </row>
    <row r="41" spans="1:5" x14ac:dyDescent="0.25">
      <c r="A41" s="38" t="s">
        <v>42</v>
      </c>
      <c r="B41" s="38"/>
      <c r="C41" s="38"/>
      <c r="D41" s="38"/>
      <c r="E41" s="4"/>
    </row>
    <row r="42" spans="1:5" x14ac:dyDescent="0.25">
      <c r="A42" s="1" t="s">
        <v>1</v>
      </c>
      <c r="B42" s="1" t="s">
        <v>2</v>
      </c>
      <c r="C42" s="1" t="s">
        <v>3</v>
      </c>
      <c r="D42" s="1" t="s">
        <v>4</v>
      </c>
      <c r="E42" s="1" t="str">
        <f>"+/- Benchmark"</f>
        <v>+/- Benchmark</v>
      </c>
    </row>
    <row r="43" spans="1:5" x14ac:dyDescent="0.25">
      <c r="A43" s="2" t="s">
        <v>53</v>
      </c>
      <c r="B43" s="3">
        <v>0.02</v>
      </c>
      <c r="C43" s="3" cm="1">
        <f t="array" aca="1" ref="C43" ca="1">_xll.YCP("M:FZFXX","roc_1")</f>
        <v>9.2E-5</v>
      </c>
      <c r="D43" s="3">
        <f ca="1">B43*C43</f>
        <v>1.84E-6</v>
      </c>
      <c r="E43" s="4"/>
    </row>
    <row r="44" spans="1:5" x14ac:dyDescent="0.25">
      <c r="A44" s="2" t="s">
        <v>43</v>
      </c>
      <c r="B44" s="3">
        <v>0.13</v>
      </c>
      <c r="C44" s="3" cm="1">
        <f t="array" aca="1" ref="C44" ca="1">_xll.YCP(A44,"roc_1")</f>
        <v>-1.7281603732826405E-4</v>
      </c>
      <c r="D44" s="3">
        <f t="shared" ref="D44:D53" ca="1" si="4">B44*C44</f>
        <v>-2.2466084852674327E-5</v>
      </c>
      <c r="E44" s="4"/>
    </row>
    <row r="45" spans="1:5" x14ac:dyDescent="0.25">
      <c r="A45" s="2" t="s">
        <v>44</v>
      </c>
      <c r="B45" s="3">
        <v>0.06</v>
      </c>
      <c r="C45" s="3" cm="1">
        <f t="array" aca="1" ref="C45" ca="1">_xll.YCP(A45,"roc_1")</f>
        <v>1.9778481012658228E-4</v>
      </c>
      <c r="D45" s="3">
        <f t="shared" ca="1" si="4"/>
        <v>1.1867088607594937E-5</v>
      </c>
      <c r="E45" s="4"/>
    </row>
    <row r="46" spans="1:5" x14ac:dyDescent="0.25">
      <c r="A46" s="2" t="s">
        <v>45</v>
      </c>
      <c r="B46" s="3">
        <v>0.09</v>
      </c>
      <c r="C46" s="3" cm="1">
        <f t="array" aca="1" ref="C46" ca="1">_xll.YCP(A46,"roc_1")</f>
        <v>-4.4072278536800354E-4</v>
      </c>
      <c r="D46" s="3">
        <f t="shared" ca="1" si="4"/>
        <v>-3.9665050683120319E-5</v>
      </c>
      <c r="E46" s="4"/>
    </row>
    <row r="47" spans="1:5" x14ac:dyDescent="0.25">
      <c r="A47" s="2" t="s">
        <v>14</v>
      </c>
      <c r="B47" s="3">
        <v>0.21</v>
      </c>
      <c r="C47" s="3" cm="1">
        <f t="array" aca="1" ref="C47" ca="1">_xll.YCP(A47,"roc_1")</f>
        <v>5.2659684931913257E-3</v>
      </c>
      <c r="D47" s="3">
        <f t="shared" ca="1" si="4"/>
        <v>1.1058533835701784E-3</v>
      </c>
      <c r="E47" s="4"/>
    </row>
    <row r="48" spans="1:5" x14ac:dyDescent="0.25">
      <c r="A48" s="2" t="s">
        <v>46</v>
      </c>
      <c r="B48" s="3">
        <v>0.09</v>
      </c>
      <c r="C48" s="3" cm="1">
        <f t="array" aca="1" ref="C48" ca="1">_xll.YCP(A48,"roc_1")</f>
        <v>9.0313299232736566E-3</v>
      </c>
      <c r="D48" s="3">
        <f t="shared" ca="1" si="4"/>
        <v>8.1281969309462911E-4</v>
      </c>
      <c r="E48" s="4"/>
    </row>
    <row r="49" spans="1:5" x14ac:dyDescent="0.25">
      <c r="A49" s="2" t="s">
        <v>47</v>
      </c>
      <c r="B49" s="3">
        <v>0.08</v>
      </c>
      <c r="C49" s="3" cm="1">
        <f t="array" aca="1" ref="C49" ca="1">_xll.YCP(A49,"roc_1")</f>
        <v>5.12589928057554E-3</v>
      </c>
      <c r="D49" s="3">
        <f t="shared" ca="1" si="4"/>
        <v>4.1007194244604321E-4</v>
      </c>
      <c r="E49" s="4"/>
    </row>
    <row r="50" spans="1:5" x14ac:dyDescent="0.25">
      <c r="A50" s="2" t="s">
        <v>48</v>
      </c>
      <c r="B50" s="3">
        <v>0.12</v>
      </c>
      <c r="C50" s="3" cm="1">
        <f t="array" aca="1" ref="C50" ca="1">_xll.YCP(A50,"roc_1")</f>
        <v>5.6546120795626167E-3</v>
      </c>
      <c r="D50" s="3">
        <f t="shared" ca="1" si="4"/>
        <v>6.7855344954751394E-4</v>
      </c>
      <c r="E50" s="4"/>
    </row>
    <row r="51" spans="1:5" x14ac:dyDescent="0.25">
      <c r="A51" s="2" t="s">
        <v>7</v>
      </c>
      <c r="B51" s="3">
        <v>9.3299999999999994E-2</v>
      </c>
      <c r="C51" s="3" cm="1">
        <f t="array" aca="1" ref="C51" ca="1">_xll.YCP(A51,"roc_1")</f>
        <v>2.2789149944539679E-3</v>
      </c>
      <c r="D51" s="3">
        <f t="shared" ca="1" si="4"/>
        <v>2.1262276898255519E-4</v>
      </c>
      <c r="E51" s="4"/>
    </row>
    <row r="52" spans="1:5" x14ac:dyDescent="0.25">
      <c r="A52" s="2" t="s">
        <v>21</v>
      </c>
      <c r="B52" s="3">
        <v>0.04</v>
      </c>
      <c r="C52" s="3" cm="1">
        <f t="array" aca="1" ref="C52" ca="1">_xll.YCP(A52,"roc_1")</f>
        <v>7.0283152239770568E-3</v>
      </c>
      <c r="D52" s="3">
        <f t="shared" ca="1" si="4"/>
        <v>2.8113260895908229E-4</v>
      </c>
      <c r="E52" s="4"/>
    </row>
    <row r="53" spans="1:5" ht="16.5" thickBot="1" x14ac:dyDescent="0.3">
      <c r="A53" s="2" t="s">
        <v>22</v>
      </c>
      <c r="B53" s="3">
        <v>6.6699999999999995E-2</v>
      </c>
      <c r="C53" s="3" cm="1">
        <f t="array" aca="1" ref="C53" ca="1">_xll.YCP(A53,"roc_1")</f>
        <v>5.1039462218349313E-3</v>
      </c>
      <c r="D53" s="3">
        <f t="shared" ca="1" si="4"/>
        <v>3.4043321299638991E-4</v>
      </c>
      <c r="E53" s="4"/>
    </row>
    <row r="54" spans="1:5" ht="16.5" thickBot="1" x14ac:dyDescent="0.3">
      <c r="A54" s="2"/>
      <c r="B54" s="3">
        <f>SUM(B43:B53)</f>
        <v>1</v>
      </c>
      <c r="C54" s="4"/>
      <c r="D54" s="5">
        <f ca="1">SUM(D43:D53)</f>
        <v>3.7930630126681922E-3</v>
      </c>
      <c r="E54" s="5">
        <f ca="1">D54-Benchmarks!$D$4</f>
        <v>-8.885401975740094E-4</v>
      </c>
    </row>
    <row r="55" spans="1:5" x14ac:dyDescent="0.25">
      <c r="A55" s="2"/>
      <c r="B55" s="3"/>
      <c r="C55" s="4"/>
      <c r="D55" s="27"/>
      <c r="E55" s="27"/>
    </row>
    <row r="56" spans="1:5" x14ac:dyDescent="0.25">
      <c r="A56" s="38" t="s">
        <v>51</v>
      </c>
      <c r="B56" s="38"/>
      <c r="C56" s="38"/>
      <c r="D56" s="38"/>
      <c r="E56" s="4"/>
    </row>
    <row r="57" spans="1:5" x14ac:dyDescent="0.25">
      <c r="A57" s="1" t="s">
        <v>1</v>
      </c>
      <c r="B57" s="1" t="s">
        <v>2</v>
      </c>
      <c r="C57" s="1" t="s">
        <v>3</v>
      </c>
      <c r="D57" s="1" t="s">
        <v>4</v>
      </c>
      <c r="E57" s="1" t="str">
        <f>"+/- Benchmark"</f>
        <v>+/- Benchmark</v>
      </c>
    </row>
    <row r="58" spans="1:5" x14ac:dyDescent="0.25">
      <c r="A58" s="2" t="s">
        <v>53</v>
      </c>
      <c r="B58" s="3">
        <v>0.01</v>
      </c>
      <c r="C58" s="3" cm="1">
        <f t="array" aca="1" ref="C58" ca="1">_xll.YCP("M:FZFXX","roc_1")</f>
        <v>9.2E-5</v>
      </c>
      <c r="D58" s="3">
        <f ca="1">B58*C58</f>
        <v>9.1999999999999998E-7</v>
      </c>
      <c r="E58" s="4"/>
    </row>
    <row r="59" spans="1:5" x14ac:dyDescent="0.25">
      <c r="A59" s="2" t="s">
        <v>14</v>
      </c>
      <c r="B59" s="3">
        <v>0.22950000000000001</v>
      </c>
      <c r="C59" s="3" cm="1">
        <f t="array" aca="1" ref="C59" ca="1">_xll.YCP(A59,"roc_1")</f>
        <v>5.2659684931913257E-3</v>
      </c>
      <c r="D59" s="3">
        <f t="shared" ref="D59:D69" ca="1" si="5">B59*C59</f>
        <v>1.2085397691874093E-3</v>
      </c>
      <c r="E59" s="4"/>
    </row>
    <row r="60" spans="1:5" x14ac:dyDescent="0.25">
      <c r="A60" s="2" t="s">
        <v>15</v>
      </c>
      <c r="B60" s="3">
        <v>7.0099999999999996E-2</v>
      </c>
      <c r="C60" s="3" cm="1">
        <f t="array" aca="1" ref="C60" ca="1">_xll.YCP(A60,"roc_1")</f>
        <v>1.0980966325036604E-2</v>
      </c>
      <c r="D60" s="3">
        <f t="shared" ca="1" si="5"/>
        <v>7.6976573938506581E-4</v>
      </c>
      <c r="E60" s="4"/>
    </row>
    <row r="61" spans="1:5" x14ac:dyDescent="0.25">
      <c r="A61" s="2" t="s">
        <v>16</v>
      </c>
      <c r="B61" s="3">
        <v>7.0099999999999996E-2</v>
      </c>
      <c r="C61" s="3" cm="1">
        <f t="array" aca="1" ref="C61" ca="1">_xll.YCP(A61,"roc_1")</f>
        <v>1.0324060797246917E-2</v>
      </c>
      <c r="D61" s="3">
        <f t="shared" ca="1" si="5"/>
        <v>7.2371666188700886E-4</v>
      </c>
      <c r="E61" s="4"/>
    </row>
    <row r="62" spans="1:5" x14ac:dyDescent="0.25">
      <c r="A62" s="2" t="s">
        <v>17</v>
      </c>
      <c r="B62" s="3">
        <v>7.0099999999999996E-2</v>
      </c>
      <c r="C62" s="3" cm="1">
        <f t="array" aca="1" ref="C62" ca="1">_xll.YCP(A62,"roc_1")</f>
        <v>3.5999221638451061E-3</v>
      </c>
      <c r="D62" s="3">
        <f t="shared" ca="1" si="5"/>
        <v>2.5235454368554194E-4</v>
      </c>
      <c r="E62" s="4"/>
    </row>
    <row r="63" spans="1:5" x14ac:dyDescent="0.25">
      <c r="A63" s="2" t="s">
        <v>18</v>
      </c>
      <c r="B63" s="3">
        <v>7.0099999999999996E-2</v>
      </c>
      <c r="C63" s="3" cm="1">
        <f t="array" aca="1" ref="C63" ca="1">_xll.YCP(A63,"roc_1")</f>
        <v>3.8700992764597003E-3</v>
      </c>
      <c r="D63" s="3">
        <f t="shared" ca="1" si="5"/>
        <v>2.7129395927982499E-4</v>
      </c>
      <c r="E63" s="4"/>
    </row>
    <row r="64" spans="1:5" x14ac:dyDescent="0.25">
      <c r="A64" s="2" t="s">
        <v>19</v>
      </c>
      <c r="B64" s="3">
        <v>6.3E-2</v>
      </c>
      <c r="C64" s="3" cm="1">
        <f t="array" aca="1" ref="C64" ca="1">_xll.YCP(A64,"roc_1")</f>
        <v>3.3537474482356372E-3</v>
      </c>
      <c r="D64" s="3">
        <f t="shared" ca="1" si="5"/>
        <v>2.1128608923884514E-4</v>
      </c>
      <c r="E64" s="4"/>
    </row>
    <row r="65" spans="1:5" x14ac:dyDescent="0.25">
      <c r="A65" s="2" t="s">
        <v>20</v>
      </c>
      <c r="B65" s="3">
        <v>6.3E-2</v>
      </c>
      <c r="C65" s="3" cm="1">
        <f t="array" aca="1" ref="C65" ca="1">_xll.YCP(A65,"roc_1")</f>
        <v>2.5956047759127876E-3</v>
      </c>
      <c r="D65" s="3">
        <f t="shared" ca="1" si="5"/>
        <v>1.6352310088250561E-4</v>
      </c>
      <c r="E65" s="4"/>
    </row>
    <row r="66" spans="1:5" x14ac:dyDescent="0.25">
      <c r="A66" s="2" t="s">
        <v>7</v>
      </c>
      <c r="B66" s="3">
        <v>0.13730000000000001</v>
      </c>
      <c r="C66" s="3" cm="1">
        <f t="array" aca="1" ref="C66" ca="1">_xll.YCP(A66,"roc_1")</f>
        <v>2.2789149944539679E-3</v>
      </c>
      <c r="D66" s="3">
        <f t="shared" ca="1" si="5"/>
        <v>3.1289502873852983E-4</v>
      </c>
      <c r="E66" s="4"/>
    </row>
    <row r="67" spans="1:5" x14ac:dyDescent="0.25">
      <c r="A67" s="2" t="s">
        <v>21</v>
      </c>
      <c r="B67" s="3">
        <v>5.8799999999999998E-2</v>
      </c>
      <c r="C67" s="3" cm="1">
        <f t="array" aca="1" ref="C67" ca="1">_xll.YCP(A67,"roc_1")</f>
        <v>7.0283152239770568E-3</v>
      </c>
      <c r="D67" s="3">
        <f t="shared" ca="1" si="5"/>
        <v>4.1326493516985095E-4</v>
      </c>
      <c r="E67" s="4"/>
    </row>
    <row r="68" spans="1:5" x14ac:dyDescent="0.25">
      <c r="A68" s="2" t="s">
        <v>22</v>
      </c>
      <c r="B68" s="3">
        <v>9.8000000000000004E-2</v>
      </c>
      <c r="C68" s="3" cm="1">
        <f t="array" aca="1" ref="C68" ca="1">_xll.YCP(A68,"roc_1")</f>
        <v>5.1039462218349313E-3</v>
      </c>
      <c r="D68" s="3">
        <f t="shared" ca="1" si="5"/>
        <v>5.0018672973982327E-4</v>
      </c>
      <c r="E68" s="4"/>
    </row>
    <row r="69" spans="1:5" ht="16.5" thickBot="1" x14ac:dyDescent="0.3">
      <c r="A69" s="2" t="s">
        <v>23</v>
      </c>
      <c r="B69" s="3">
        <v>0.06</v>
      </c>
      <c r="C69" s="3" cm="1">
        <f t="array" aca="1" ref="C69" ca="1">_xll.YCP(A69,"roc_1")</f>
        <v>4.9153468050245766E-3</v>
      </c>
      <c r="D69" s="3">
        <f t="shared" ca="1" si="5"/>
        <v>2.9492080830147458E-4</v>
      </c>
      <c r="E69" s="4"/>
    </row>
    <row r="70" spans="1:5" ht="16.5" thickBot="1" x14ac:dyDescent="0.3">
      <c r="A70" s="2"/>
      <c r="B70" s="3">
        <f>SUM(B58:B69)</f>
        <v>0.99999999999999978</v>
      </c>
      <c r="C70" s="4"/>
      <c r="D70" s="5">
        <f ca="1">SUM(D58:D69)</f>
        <v>5.122667365495881E-3</v>
      </c>
      <c r="E70" s="5">
        <f ca="1">D70-Benchmarks!$D$4</f>
        <v>4.410641552536794E-4</v>
      </c>
    </row>
    <row r="72" spans="1:5" x14ac:dyDescent="0.25">
      <c r="A72" s="38" t="s">
        <v>28</v>
      </c>
      <c r="B72" s="38"/>
      <c r="C72" s="38"/>
      <c r="D72" s="38"/>
      <c r="E72" s="4"/>
    </row>
    <row r="73" spans="1:5" x14ac:dyDescent="0.25">
      <c r="A73" s="1" t="s">
        <v>1</v>
      </c>
      <c r="B73" s="1" t="s">
        <v>2</v>
      </c>
      <c r="C73" s="1" t="s">
        <v>3</v>
      </c>
      <c r="D73" s="1" t="s">
        <v>4</v>
      </c>
      <c r="E73" s="1" t="str">
        <f>"+/- Benchmark"</f>
        <v>+/- Benchmark</v>
      </c>
    </row>
    <row r="74" spans="1:5" x14ac:dyDescent="0.25">
      <c r="A74" s="2" t="s">
        <v>53</v>
      </c>
      <c r="B74" s="3">
        <v>0.01</v>
      </c>
      <c r="C74" s="3" cm="1">
        <f t="array" aca="1" ref="C74" ca="1">_xll.YCP("M:FZFXX","roc_1")</f>
        <v>9.2E-5</v>
      </c>
      <c r="D74" s="3">
        <f ca="1">B74*C74</f>
        <v>9.1999999999999998E-7</v>
      </c>
      <c r="E74" s="4"/>
    </row>
    <row r="75" spans="1:5" x14ac:dyDescent="0.25">
      <c r="A75" s="2" t="s">
        <v>7</v>
      </c>
      <c r="B75" s="3">
        <f>0.7*0.3934</f>
        <v>0.27538000000000001</v>
      </c>
      <c r="C75" s="3" cm="1">
        <f t="array" aca="1" ref="C75" ca="1">_xll.YCP(A75,"roc_1")</f>
        <v>2.2789149944539679E-3</v>
      </c>
      <c r="D75" s="3">
        <f t="shared" ref="D75:D80" ca="1" si="6">B75*C75</f>
        <v>6.2756761117273372E-4</v>
      </c>
      <c r="E75" s="4"/>
    </row>
    <row r="76" spans="1:5" x14ac:dyDescent="0.25">
      <c r="A76" s="2" t="s">
        <v>21</v>
      </c>
      <c r="B76" s="3">
        <f>0.3*0.3934</f>
        <v>0.11802</v>
      </c>
      <c r="C76" s="3" cm="1">
        <f t="array" aca="1" ref="C76" ca="1">_xll.YCP(A76,"roc_1")</f>
        <v>7.0283152239770568E-3</v>
      </c>
      <c r="D76" s="3">
        <f t="shared" ca="1" si="6"/>
        <v>8.2948176273377227E-4</v>
      </c>
      <c r="E76" s="4"/>
    </row>
    <row r="77" spans="1:5" x14ac:dyDescent="0.25">
      <c r="A77" s="2" t="s">
        <v>19</v>
      </c>
      <c r="B77" s="3">
        <f>0.5*0.25</f>
        <v>0.125</v>
      </c>
      <c r="C77" s="3" cm="1">
        <f t="array" aca="1" ref="C77" ca="1">_xll.YCP(A77,"roc_1")</f>
        <v>3.3537474482356372E-3</v>
      </c>
      <c r="D77" s="3">
        <f t="shared" ca="1" si="6"/>
        <v>4.1921843102945465E-4</v>
      </c>
      <c r="E77" s="4"/>
    </row>
    <row r="78" spans="1:5" x14ac:dyDescent="0.25">
      <c r="A78" s="2" t="s">
        <v>20</v>
      </c>
      <c r="B78" s="3">
        <f>0.5*0.25</f>
        <v>0.125</v>
      </c>
      <c r="C78" s="3" cm="1">
        <f t="array" aca="1" ref="C78" ca="1">_xll.YCP(A78,"roc_1")</f>
        <v>2.5956047759127876E-3</v>
      </c>
      <c r="D78" s="3">
        <f t="shared" ca="1" si="6"/>
        <v>3.2445059698909845E-4</v>
      </c>
      <c r="E78" s="4"/>
    </row>
    <row r="79" spans="1:5" x14ac:dyDescent="0.25">
      <c r="A79" s="2" t="s">
        <v>22</v>
      </c>
      <c r="B79" s="3">
        <v>0.1966</v>
      </c>
      <c r="C79" s="3" cm="1">
        <f t="array" aca="1" ref="C79" ca="1">_xll.YCP(A79,"roc_1")</f>
        <v>5.1039462218349313E-3</v>
      </c>
      <c r="D79" s="3">
        <f t="shared" ca="1" si="6"/>
        <v>1.0034358272127475E-3</v>
      </c>
      <c r="E79" s="4"/>
    </row>
    <row r="80" spans="1:5" ht="16.5" thickBot="1" x14ac:dyDescent="0.3">
      <c r="A80" s="2" t="s">
        <v>15</v>
      </c>
      <c r="B80" s="3">
        <v>0.15</v>
      </c>
      <c r="C80" s="3" cm="1">
        <f t="array" aca="1" ref="C80" ca="1">_xll.YCP(A80,"roc_1")</f>
        <v>1.0980966325036604E-2</v>
      </c>
      <c r="D80" s="3">
        <f t="shared" ca="1" si="6"/>
        <v>1.6471449487554905E-3</v>
      </c>
      <c r="E80" s="4"/>
    </row>
    <row r="81" spans="1:5" ht="16.5" thickBot="1" x14ac:dyDescent="0.3">
      <c r="A81" s="2"/>
      <c r="B81" s="3">
        <f>SUM(B74:B80)</f>
        <v>1</v>
      </c>
      <c r="C81" s="4"/>
      <c r="D81" s="5">
        <f ca="1">SUM(D74:D80)</f>
        <v>4.8522191778932969E-3</v>
      </c>
      <c r="E81" s="5">
        <f ca="1">D81-Benchmarks!$D$4</f>
        <v>1.7061596765109537E-4</v>
      </c>
    </row>
    <row r="83" spans="1:5" x14ac:dyDescent="0.25">
      <c r="A83" s="38" t="s">
        <v>29</v>
      </c>
      <c r="B83" s="38"/>
      <c r="C83" s="38"/>
      <c r="D83" s="38"/>
      <c r="E83" s="4"/>
    </row>
    <row r="84" spans="1:5" x14ac:dyDescent="0.25">
      <c r="A84" s="1" t="s">
        <v>1</v>
      </c>
      <c r="B84" s="1" t="s">
        <v>2</v>
      </c>
      <c r="C84" s="1" t="s">
        <v>3</v>
      </c>
      <c r="D84" s="1" t="s">
        <v>4</v>
      </c>
      <c r="E84" s="1" t="str">
        <f>"+/- Benchmark"</f>
        <v>+/- Benchmark</v>
      </c>
    </row>
    <row r="85" spans="1:5" x14ac:dyDescent="0.25">
      <c r="A85" s="2" t="s">
        <v>53</v>
      </c>
      <c r="B85" s="3">
        <v>0.01</v>
      </c>
      <c r="C85" s="3" cm="1">
        <f t="array" aca="1" ref="C85" ca="1">_xll.YCP("M:FZFXX","roc_1")</f>
        <v>9.2E-5</v>
      </c>
      <c r="D85" s="3">
        <f ca="1">B85*C85</f>
        <v>9.1999999999999998E-7</v>
      </c>
      <c r="E85" s="4"/>
    </row>
    <row r="86" spans="1:5" x14ac:dyDescent="0.25">
      <c r="A86" s="2" t="s">
        <v>15</v>
      </c>
      <c r="B86" s="3">
        <v>0.2475</v>
      </c>
      <c r="C86" s="3" cm="1">
        <f t="array" aca="1" ref="C86" ca="1">_xll.YCP(A86,"roc_1")</f>
        <v>1.0980966325036604E-2</v>
      </c>
      <c r="D86" s="3">
        <f t="shared" ref="D86:D89" ca="1" si="7">B86*C86</f>
        <v>2.7177891654465592E-3</v>
      </c>
      <c r="E86" s="4"/>
    </row>
    <row r="87" spans="1:5" x14ac:dyDescent="0.25">
      <c r="A87" s="2" t="s">
        <v>17</v>
      </c>
      <c r="B87" s="3">
        <v>0.2475</v>
      </c>
      <c r="C87" s="3" cm="1">
        <f t="array" aca="1" ref="C87" ca="1">_xll.YCP(A87,"roc_1")</f>
        <v>3.5999221638451061E-3</v>
      </c>
      <c r="D87" s="3">
        <f t="shared" ca="1" si="7"/>
        <v>8.9098073555166372E-4</v>
      </c>
      <c r="E87" s="4"/>
    </row>
    <row r="88" spans="1:5" x14ac:dyDescent="0.25">
      <c r="A88" s="2" t="s">
        <v>16</v>
      </c>
      <c r="B88" s="3">
        <v>0.2475</v>
      </c>
      <c r="C88" s="3" cm="1">
        <f t="array" aca="1" ref="C88" ca="1">_xll.YCP(A88,"roc_1")</f>
        <v>1.0324060797246917E-2</v>
      </c>
      <c r="D88" s="3">
        <f t="shared" ca="1" si="7"/>
        <v>2.5552050473186122E-3</v>
      </c>
      <c r="E88" s="4"/>
    </row>
    <row r="89" spans="1:5" ht="16.5" thickBot="1" x14ac:dyDescent="0.3">
      <c r="A89" s="2" t="s">
        <v>18</v>
      </c>
      <c r="B89" s="3">
        <v>0.2475</v>
      </c>
      <c r="C89" s="3" cm="1">
        <f t="array" aca="1" ref="C89" ca="1">_xll.YCP(A89,"roc_1")</f>
        <v>3.8700992764597003E-3</v>
      </c>
      <c r="D89" s="3">
        <f t="shared" ca="1" si="7"/>
        <v>9.578495709237758E-4</v>
      </c>
      <c r="E89" s="4"/>
    </row>
    <row r="90" spans="1:5" ht="16.5" thickBot="1" x14ac:dyDescent="0.3">
      <c r="A90" s="2"/>
      <c r="B90" s="3">
        <f>SUM(B85:B89)</f>
        <v>1</v>
      </c>
      <c r="C90" s="4"/>
      <c r="D90" s="5">
        <f ca="1">SUM(D85:D89)</f>
        <v>7.1227445192406109E-3</v>
      </c>
      <c r="E90" s="5">
        <f ca="1">D90-Benchmarks!$D$4</f>
        <v>2.4411413089984093E-3</v>
      </c>
    </row>
  </sheetData>
  <mergeCells count="6">
    <mergeCell ref="A1:D1"/>
    <mergeCell ref="A72:D72"/>
    <mergeCell ref="A20:D20"/>
    <mergeCell ref="A83:D83"/>
    <mergeCell ref="A41:D41"/>
    <mergeCell ref="A56:D56"/>
  </mergeCells>
  <conditionalFormatting sqref="C3:D18 C22:D40 C43:D55 C58:D70 C74:D81 C85:D90">
    <cfRule type="cellIs" dxfId="25" priority="23" operator="lessThan">
      <formula>0</formula>
    </cfRule>
    <cfRule type="cellIs" dxfId="24" priority="24" operator="greaterThan">
      <formula>0</formula>
    </cfRule>
  </conditionalFormatting>
  <conditionalFormatting sqref="E18">
    <cfRule type="cellIs" dxfId="23" priority="21" operator="lessThan">
      <formula>0</formula>
    </cfRule>
    <cfRule type="cellIs" dxfId="22" priority="22" operator="greaterThan">
      <formula>0</formula>
    </cfRule>
  </conditionalFormatting>
  <conditionalFormatting sqref="E39:E40">
    <cfRule type="cellIs" dxfId="21" priority="11" operator="lessThan">
      <formula>0</formula>
    </cfRule>
    <cfRule type="cellIs" dxfId="20" priority="12" operator="greaterThan">
      <formula>0</formula>
    </cfRule>
  </conditionalFormatting>
  <conditionalFormatting sqref="E54:E55">
    <cfRule type="cellIs" dxfId="19" priority="5" operator="lessThan">
      <formula>0</formula>
    </cfRule>
    <cfRule type="cellIs" dxfId="18" priority="6" operator="greaterThan">
      <formula>0</formula>
    </cfRule>
  </conditionalFormatting>
  <conditionalFormatting sqref="E70">
    <cfRule type="cellIs" dxfId="17" priority="1" operator="lessThan">
      <formula>0</formula>
    </cfRule>
    <cfRule type="cellIs" dxfId="16" priority="2" operator="greaterThan">
      <formula>0</formula>
    </cfRule>
  </conditionalFormatting>
  <conditionalFormatting sqref="E81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E90">
    <cfRule type="cellIs" dxfId="13" priority="7" operator="lessThan">
      <formula>0</formula>
    </cfRule>
    <cfRule type="cellIs" dxfId="12" priority="8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402F-2D4B-4E11-9510-C7E2A5012CB0}">
  <dimension ref="A1:I30"/>
  <sheetViews>
    <sheetView showGridLines="0" tabSelected="1" zoomScale="140" zoomScaleNormal="140" workbookViewId="0">
      <selection activeCell="I2" sqref="I2"/>
    </sheetView>
  </sheetViews>
  <sheetFormatPr defaultRowHeight="21" customHeight="1" x14ac:dyDescent="0.25"/>
  <cols>
    <col min="1" max="1" width="13.42578125" customWidth="1"/>
    <col min="2" max="2" width="8.42578125" customWidth="1"/>
    <col min="3" max="3" width="9.42578125" style="8" customWidth="1"/>
    <col min="4" max="4" width="11.85546875" style="8" customWidth="1"/>
    <col min="5" max="5" width="10.85546875" style="8" bestFit="1" customWidth="1"/>
    <col min="6" max="6" width="12" customWidth="1"/>
  </cols>
  <sheetData>
    <row r="1" spans="1:6" ht="21" customHeight="1" thickBot="1" x14ac:dyDescent="0.3">
      <c r="A1" s="36" t="s">
        <v>30</v>
      </c>
      <c r="B1" s="37"/>
      <c r="C1" s="16" t="s">
        <v>31</v>
      </c>
      <c r="D1" s="16" t="str">
        <f>"+/- Bench"</f>
        <v>+/- Bench</v>
      </c>
      <c r="E1" s="20" t="s">
        <v>32</v>
      </c>
      <c r="F1" s="17" t="str">
        <f>"+/- Bench"</f>
        <v>+/- Bench</v>
      </c>
    </row>
    <row r="2" spans="1:6" ht="21" customHeight="1" thickTop="1" x14ac:dyDescent="0.3">
      <c r="A2" s="32" t="s">
        <v>0</v>
      </c>
      <c r="B2" s="33"/>
      <c r="C2" s="12">
        <f ca="1">Benchmarks!D4</f>
        <v>4.6816032102422016E-3</v>
      </c>
      <c r="D2" s="18"/>
      <c r="E2" s="21" cm="1">
        <f t="array" aca="1" ref="E2" ca="1">_xll.YCP("VOO","ytd_total_return")</f>
        <v>1.371E-3</v>
      </c>
      <c r="F2" s="13"/>
    </row>
    <row r="3" spans="1:6" ht="21" customHeight="1" x14ac:dyDescent="0.3">
      <c r="A3" s="32" t="s">
        <v>33</v>
      </c>
      <c r="B3" s="33"/>
      <c r="C3" s="12">
        <f ca="1">Benchmarks!D9</f>
        <v>2.2789149944539679E-3</v>
      </c>
      <c r="D3" s="18"/>
      <c r="E3" s="21" cm="1">
        <f t="array" aca="1" ref="E3" ca="1">_xll.YCP("DIA","ytd_total_return")</f>
        <v>3.2169000000000003E-2</v>
      </c>
      <c r="F3" s="13"/>
    </row>
    <row r="4" spans="1:6" ht="21" customHeight="1" x14ac:dyDescent="0.3">
      <c r="A4" s="33" t="s">
        <v>8</v>
      </c>
      <c r="B4" s="33"/>
      <c r="C4" s="12">
        <f ca="1">Benchmarks!D14</f>
        <v>6.9848661233993014E-3</v>
      </c>
      <c r="D4" s="18"/>
      <c r="E4" s="21" cm="1">
        <f t="array" aca="1" ref="E4" ca="1">_xll.YCP("QQQ","ytd_total_return")</f>
        <v>-2.1177999999999999E-2</v>
      </c>
      <c r="F4" s="12"/>
    </row>
    <row r="5" spans="1:6" ht="21" customHeight="1" x14ac:dyDescent="0.3">
      <c r="A5" s="23" t="s">
        <v>39</v>
      </c>
      <c r="B5" s="26"/>
      <c r="C5" s="12">
        <f ca="1">Benchmarks!D19</f>
        <v>-1.3861386138613861E-3</v>
      </c>
      <c r="D5" s="18"/>
      <c r="E5" s="21" cm="1">
        <f t="array" aca="1" ref="E5" ca="1">_xll.YCP("AGG","ytd_total_return")</f>
        <v>1.4507000000000001E-2</v>
      </c>
      <c r="F5" s="13"/>
    </row>
    <row r="6" spans="1:6" ht="21" customHeight="1" x14ac:dyDescent="0.3">
      <c r="A6" s="23" t="s">
        <v>40</v>
      </c>
      <c r="B6" s="26"/>
      <c r="C6" s="12">
        <f ca="1">Benchmarks!D24</f>
        <v>5.945745076179859E-3</v>
      </c>
      <c r="D6" s="18"/>
      <c r="E6" s="21" cm="1">
        <f t="array" aca="1" ref="E6" ca="1">_xll.YCP("UUP","ytd_total_return")</f>
        <v>-4.4400000000000004E-3</v>
      </c>
      <c r="F6" s="13"/>
    </row>
    <row r="7" spans="1:6" ht="21" customHeight="1" thickBot="1" x14ac:dyDescent="0.35">
      <c r="A7" s="24" t="s">
        <v>50</v>
      </c>
      <c r="B7" s="25"/>
      <c r="C7" s="14">
        <f ca="1">Benchmarks!D29</f>
        <v>2.6728439059158945E-2</v>
      </c>
      <c r="D7" s="19"/>
      <c r="E7" s="22" cm="1">
        <f t="array" aca="1" ref="E7" ca="1">_xll.YCP("PDBC","ytd_total_return")</f>
        <v>5.8867999999999997E-2</v>
      </c>
      <c r="F7" s="15"/>
    </row>
    <row r="8" spans="1:6" ht="21" customHeight="1" thickTop="1" x14ac:dyDescent="0.25">
      <c r="A8" s="34" t="s">
        <v>34</v>
      </c>
      <c r="B8" s="35"/>
      <c r="C8" s="12">
        <f ca="1">NelsonCorp!D18</f>
        <v>3.8905725854926779E-3</v>
      </c>
      <c r="D8" s="12">
        <f ca="1">NelsonCorp!E18</f>
        <v>-7.9103062474952367E-4</v>
      </c>
      <c r="E8" s="21" cm="1">
        <f t="array" aca="1" ref="E8" ca="1">_xll.YCP("P:552644","ytd_total_return")</f>
        <v>7.4920000000000004E-3</v>
      </c>
      <c r="F8" s="13">
        <f ca="1">E8-$E$2</f>
        <v>6.1210000000000006E-3</v>
      </c>
    </row>
    <row r="9" spans="1:6" ht="21" customHeight="1" x14ac:dyDescent="0.25">
      <c r="A9" s="34" t="s">
        <v>35</v>
      </c>
      <c r="B9" s="35"/>
      <c r="C9" s="12">
        <f ca="1">NelsonCorp!D39</f>
        <v>3.8845475387953477E-3</v>
      </c>
      <c r="D9" s="12">
        <f ca="1">NelsonCorp!E39</f>
        <v>-7.9705567144685392E-4</v>
      </c>
      <c r="E9" s="21" cm="1">
        <f t="array" aca="1" ref="E9" ca="1">_xll.YCP("P:555767","ytd_total_return")</f>
        <v>1.1272000000000001E-2</v>
      </c>
      <c r="F9" s="13">
        <f t="shared" ref="F9:F13" ca="1" si="0">E9-$E$2</f>
        <v>9.9010000000000001E-3</v>
      </c>
    </row>
    <row r="10" spans="1:6" ht="21" customHeight="1" x14ac:dyDescent="0.25">
      <c r="A10" s="34" t="s">
        <v>49</v>
      </c>
      <c r="B10" s="35"/>
      <c r="C10" s="12">
        <f ca="1">NelsonCorp!D54</f>
        <v>3.7930630126681922E-3</v>
      </c>
      <c r="D10" s="12">
        <f ca="1">NelsonCorp!E54</f>
        <v>-8.885401975740094E-4</v>
      </c>
      <c r="E10" s="21" cm="1">
        <f t="array" aca="1" ref="E10" ca="1">_xll.YCP("P:1146880","ytd_total_return")</f>
        <v>1.5200000000000001E-3</v>
      </c>
      <c r="F10" s="13">
        <f t="shared" ref="F10" ca="1" si="1">E10-$E$2</f>
        <v>1.4900000000000004E-4</v>
      </c>
    </row>
    <row r="11" spans="1:6" ht="21" customHeight="1" x14ac:dyDescent="0.25">
      <c r="A11" s="28" t="s">
        <v>52</v>
      </c>
      <c r="B11" s="29"/>
      <c r="C11" s="12">
        <f ca="1">NelsonCorp!D70</f>
        <v>5.122667365495881E-3</v>
      </c>
      <c r="D11" s="12">
        <f ca="1">NelsonCorp!E70</f>
        <v>4.410641552536794E-4</v>
      </c>
      <c r="E11" s="21" cm="1">
        <f t="array" aca="1" ref="E11" ca="1">_xll.YCP("P:597223","ytd_total_return")</f>
        <v>6.9800000000000001E-3</v>
      </c>
      <c r="F11" s="13">
        <f t="shared" ref="F11" ca="1" si="2">E11-$E$2</f>
        <v>5.6090000000000003E-3</v>
      </c>
    </row>
    <row r="12" spans="1:6" ht="21" customHeight="1" x14ac:dyDescent="0.25">
      <c r="A12" s="34" t="s">
        <v>36</v>
      </c>
      <c r="B12" s="35"/>
      <c r="C12" s="12">
        <f ca="1">NelsonCorp!D81</f>
        <v>4.8522191778932969E-3</v>
      </c>
      <c r="D12" s="12">
        <f ca="1">NelsonCorp!E81</f>
        <v>1.7061596765109537E-4</v>
      </c>
      <c r="E12" s="21" cm="1">
        <f t="array" aca="1" ref="E12" ca="1">_xll.YCP("P:1297251","ytd_total_return")</f>
        <v>-1.66E-4</v>
      </c>
      <c r="F12" s="13">
        <f t="shared" ca="1" si="0"/>
        <v>-1.537E-3</v>
      </c>
    </row>
    <row r="13" spans="1:6" ht="21" customHeight="1" thickBot="1" x14ac:dyDescent="0.3">
      <c r="A13" s="30" t="s">
        <v>37</v>
      </c>
      <c r="B13" s="31"/>
      <c r="C13" s="14">
        <f ca="1">NelsonCorp!D90</f>
        <v>7.1227445192406109E-3</v>
      </c>
      <c r="D13" s="14">
        <f ca="1">NelsonCorp!E90</f>
        <v>2.4411413089984093E-3</v>
      </c>
      <c r="E13" s="22" cm="1">
        <f t="array" aca="1" ref="E13" ca="1">_xll.YCP("P:1729042","ytd_total_return")</f>
        <v>1.9547999999999999E-2</v>
      </c>
      <c r="F13" s="15">
        <f t="shared" ca="1" si="0"/>
        <v>1.8176999999999999E-2</v>
      </c>
    </row>
    <row r="14" spans="1:6" ht="21" customHeight="1" thickTop="1" x14ac:dyDescent="0.35">
      <c r="A14" s="11"/>
      <c r="B14" s="11"/>
    </row>
    <row r="15" spans="1:6" ht="21" customHeight="1" x14ac:dyDescent="0.25">
      <c r="A15" s="10"/>
      <c r="B15" s="10"/>
    </row>
    <row r="16" spans="1:6" ht="21" customHeight="1" x14ac:dyDescent="0.25">
      <c r="A16" s="10"/>
      <c r="B16" s="10"/>
    </row>
    <row r="17" spans="1:9" ht="21" customHeight="1" x14ac:dyDescent="0.25">
      <c r="A17" s="9"/>
      <c r="B17" s="9"/>
    </row>
    <row r="18" spans="1:9" ht="21" customHeight="1" x14ac:dyDescent="0.35">
      <c r="A18" s="11"/>
      <c r="B18" s="11"/>
    </row>
    <row r="19" spans="1:9" ht="21" customHeight="1" x14ac:dyDescent="0.25">
      <c r="A19" s="10"/>
      <c r="B19" s="10"/>
    </row>
    <row r="20" spans="1:9" ht="21" customHeight="1" x14ac:dyDescent="0.25">
      <c r="A20" s="10"/>
      <c r="B20" s="10"/>
    </row>
    <row r="21" spans="1:9" ht="21" customHeight="1" x14ac:dyDescent="0.35">
      <c r="A21" s="11"/>
      <c r="B21" s="11"/>
    </row>
    <row r="22" spans="1:9" ht="21" customHeight="1" x14ac:dyDescent="0.25">
      <c r="A22" s="10"/>
      <c r="B22" s="10"/>
    </row>
    <row r="23" spans="1:9" ht="21" customHeight="1" x14ac:dyDescent="0.25">
      <c r="A23" s="10"/>
      <c r="B23" s="10"/>
      <c r="I23" s="7"/>
    </row>
    <row r="24" spans="1:9" ht="21" customHeight="1" x14ac:dyDescent="0.25">
      <c r="A24" s="9"/>
      <c r="B24" s="9"/>
    </row>
    <row r="25" spans="1:9" ht="21" customHeight="1" x14ac:dyDescent="0.35">
      <c r="A25" s="11"/>
      <c r="B25" s="11"/>
    </row>
    <row r="26" spans="1:9" ht="21" customHeight="1" x14ac:dyDescent="0.25">
      <c r="A26" s="10"/>
      <c r="B26" s="10"/>
    </row>
    <row r="27" spans="1:9" ht="21" customHeight="1" x14ac:dyDescent="0.25">
      <c r="A27" s="10"/>
      <c r="B27" s="10"/>
    </row>
    <row r="28" spans="1:9" ht="21" customHeight="1" x14ac:dyDescent="0.35">
      <c r="A28" s="11"/>
      <c r="B28" s="11"/>
    </row>
    <row r="29" spans="1:9" ht="21" customHeight="1" x14ac:dyDescent="0.25">
      <c r="A29" s="10"/>
      <c r="B29" s="10"/>
    </row>
    <row r="30" spans="1:9" ht="21" customHeight="1" x14ac:dyDescent="0.25">
      <c r="A30" s="10"/>
      <c r="B30" s="10"/>
    </row>
  </sheetData>
  <mergeCells count="9">
    <mergeCell ref="A13:B13"/>
    <mergeCell ref="A2:B2"/>
    <mergeCell ref="A12:B12"/>
    <mergeCell ref="A1:B1"/>
    <mergeCell ref="A8:B8"/>
    <mergeCell ref="A3:B3"/>
    <mergeCell ref="A4:B4"/>
    <mergeCell ref="A9:B9"/>
    <mergeCell ref="A10:B10"/>
  </mergeCells>
  <conditionalFormatting sqref="A15">
    <cfRule type="cellIs" dxfId="11" priority="23" operator="lessThan">
      <formula>0</formula>
    </cfRule>
    <cfRule type="cellIs" dxfId="10" priority="24" operator="greaterThan">
      <formula>0</formula>
    </cfRule>
  </conditionalFormatting>
  <conditionalFormatting sqref="A22">
    <cfRule type="cellIs" dxfId="9" priority="17" operator="lessThan">
      <formula>0</formula>
    </cfRule>
    <cfRule type="cellIs" dxfId="8" priority="18" operator="greaterThan">
      <formula>0</formula>
    </cfRule>
  </conditionalFormatting>
  <conditionalFormatting sqref="A26">
    <cfRule type="cellIs" dxfId="7" priority="13" operator="lessThan">
      <formula>0</formula>
    </cfRule>
    <cfRule type="cellIs" dxfId="6" priority="14" operator="greaterThan">
      <formula>0</formula>
    </cfRule>
  </conditionalFormatting>
  <conditionalFormatting sqref="A29">
    <cfRule type="cellIs" dxfId="5" priority="11" operator="lessThan">
      <formula>0</formula>
    </cfRule>
    <cfRule type="cellIs" dxfId="4" priority="12" operator="greaterThan">
      <formula>0</formula>
    </cfRule>
  </conditionalFormatting>
  <conditionalFormatting sqref="C2:C13 E2:F13 A19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D8:D13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Benchmarks</vt:lpstr>
      <vt:lpstr>NelsonCorp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Eck</dc:creator>
  <cp:keywords/>
  <dc:description/>
  <cp:lastModifiedBy>Austin Eck</cp:lastModifiedBy>
  <cp:revision/>
  <dcterms:created xsi:type="dcterms:W3CDTF">2026-02-17T16:08:21Z</dcterms:created>
  <dcterms:modified xsi:type="dcterms:W3CDTF">2026-02-18T21:53:42Z</dcterms:modified>
  <cp:category/>
  <cp:contentStatus/>
</cp:coreProperties>
</file>